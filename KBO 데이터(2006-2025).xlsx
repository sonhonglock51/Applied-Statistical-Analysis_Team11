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lyylly_/Library/Mobile Documents/com~apple~CloudDocs/kau/2025-2/통계분석응용/"/>
    </mc:Choice>
  </mc:AlternateContent>
  <xr:revisionPtr revIDLastSave="0" documentId="13_ncr:1_{2FAF7D0A-B317-3845-A989-C64D1808B3F0}" xr6:coauthVersionLast="47" xr6:coauthVersionMax="47" xr10:uidLastSave="{00000000-0000-0000-0000-000000000000}"/>
  <bookViews>
    <workbookView xWindow="20" yWindow="520" windowWidth="28780" windowHeight="15860" activeTab="2" xr2:uid="{14672AAC-7367-2B4B-8911-3DA68EB7BEB4}"/>
  </bookViews>
  <sheets>
    <sheet name="LG" sheetId="1" r:id="rId1"/>
    <sheet name="한화" sheetId="2" r:id="rId2"/>
    <sheet name="데이터" sheetId="3" r:id="rId3"/>
  </sheets>
  <definedNames>
    <definedName name="_xlnm._FilterDatabase" localSheetId="2" hidden="1">데이터!$A$1:$I$79</definedName>
    <definedName name="_xlnm._FilterDatabase" localSheetId="1" hidden="1">한화!$A$1:$L$40</definedName>
    <definedName name="_xlnm._FilterDatabase" localSheetId="0" hidden="1">LG!$A$1:$L$40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2" l="1"/>
  <c r="E38" i="2"/>
  <c r="E36" i="2"/>
  <c r="E34" i="2"/>
  <c r="E32" i="2"/>
  <c r="E30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4" i="2"/>
  <c r="H4" i="2"/>
  <c r="E6" i="2"/>
  <c r="H6" i="2"/>
  <c r="E8" i="2"/>
  <c r="H8" i="2"/>
  <c r="E10" i="2"/>
  <c r="H10" i="2"/>
  <c r="E12" i="2"/>
  <c r="H12" i="2"/>
  <c r="E14" i="2"/>
  <c r="H14" i="2"/>
  <c r="E16" i="2"/>
  <c r="H16" i="2"/>
  <c r="E18" i="2"/>
  <c r="H18" i="2"/>
  <c r="E20" i="2"/>
  <c r="H20" i="2"/>
  <c r="E22" i="2"/>
  <c r="H22" i="2"/>
  <c r="E24" i="2"/>
  <c r="H24" i="2"/>
  <c r="E26" i="2"/>
  <c r="H26" i="2"/>
  <c r="E28" i="2"/>
  <c r="H28" i="2"/>
  <c r="E31" i="2"/>
  <c r="H31" i="2"/>
  <c r="E33" i="2"/>
  <c r="H33" i="2"/>
  <c r="E35" i="2"/>
  <c r="H35" i="2"/>
  <c r="E37" i="2"/>
  <c r="H37" i="2"/>
  <c r="E39" i="2"/>
  <c r="H39" i="2"/>
  <c r="H6" i="1"/>
  <c r="H4" i="1"/>
  <c r="E2" i="2"/>
  <c r="H2" i="2"/>
  <c r="E2" i="1"/>
  <c r="H2" i="1"/>
  <c r="E3" i="1"/>
  <c r="E4" i="1"/>
  <c r="E5" i="1"/>
  <c r="E6" i="1"/>
  <c r="E7" i="1"/>
  <c r="E8" i="1"/>
  <c r="H8" i="1"/>
  <c r="E9" i="1"/>
  <c r="E10" i="1"/>
  <c r="H10" i="1"/>
  <c r="E11" i="1"/>
  <c r="E12" i="1"/>
  <c r="H12" i="1"/>
  <c r="E13" i="1"/>
  <c r="E14" i="1"/>
  <c r="H14" i="1"/>
  <c r="E15" i="1"/>
  <c r="E16" i="1"/>
  <c r="H16" i="1"/>
  <c r="E17" i="1"/>
  <c r="E18" i="1"/>
  <c r="H18" i="1"/>
  <c r="E19" i="1"/>
  <c r="E20" i="1"/>
  <c r="H20" i="1"/>
  <c r="E21" i="1"/>
  <c r="E22" i="1"/>
  <c r="H22" i="1"/>
  <c r="E23" i="1"/>
  <c r="E24" i="1"/>
  <c r="H24" i="1"/>
  <c r="E25" i="1"/>
  <c r="E26" i="1"/>
  <c r="H26" i="1"/>
  <c r="E27" i="1"/>
  <c r="E28" i="1"/>
  <c r="H28" i="1"/>
  <c r="E29" i="1"/>
  <c r="E30" i="1"/>
  <c r="E31" i="1"/>
  <c r="H31" i="1"/>
  <c r="E32" i="1"/>
  <c r="E33" i="1"/>
  <c r="H33" i="1"/>
  <c r="E34" i="1"/>
  <c r="E35" i="1"/>
  <c r="H35" i="1"/>
  <c r="E36" i="1"/>
  <c r="E37" i="1"/>
  <c r="H37" i="1"/>
  <c r="E38" i="1"/>
  <c r="E39" i="1"/>
  <c r="H39" i="1"/>
  <c r="E40" i="1"/>
</calcChain>
</file>

<file path=xl/sharedStrings.xml><?xml version="1.0" encoding="utf-8"?>
<sst xmlns="http://schemas.openxmlformats.org/spreadsheetml/2006/main" count="191" uniqueCount="39">
  <si>
    <t>정규시즌</t>
    <phoneticPr fontId="3" type="noConversion"/>
  </si>
  <si>
    <t>시범경기</t>
    <phoneticPr fontId="3" type="noConversion"/>
  </si>
  <si>
    <t>ra(실점)</t>
    <phoneticPr fontId="3" type="noConversion"/>
  </si>
  <si>
    <t>SB%(도루성공률)</t>
    <phoneticPr fontId="3" type="noConversion"/>
  </si>
  <si>
    <t>slg(장타율)</t>
    <phoneticPr fontId="3" type="noConversion"/>
  </si>
  <si>
    <t>TB(총루타)</t>
    <phoneticPr fontId="3" type="noConversion"/>
  </si>
  <si>
    <t>AB(타수)</t>
    <phoneticPr fontId="3" type="noConversion"/>
  </si>
  <si>
    <t>시리즈</t>
    <phoneticPr fontId="3" type="noConversion"/>
  </si>
  <si>
    <t>연도</t>
    <phoneticPr fontId="3" type="noConversion"/>
  </si>
  <si>
    <t xml:space="preserve">439	</t>
    <phoneticPr fontId="3" type="noConversion"/>
  </si>
  <si>
    <t>SB(도루성공)</t>
    <phoneticPr fontId="3" type="noConversion"/>
  </si>
  <si>
    <t>CS(도루실패)</t>
    <phoneticPr fontId="3" type="noConversion"/>
  </si>
  <si>
    <t>total_bb(타자 볼넷 수)</t>
    <phoneticPr fontId="3" type="noConversion"/>
  </si>
  <si>
    <t>pitch_bb(투수 볼넷 수)</t>
    <phoneticPr fontId="3" type="noConversion"/>
  </si>
  <si>
    <t>pitch_so(투수 탈삼진 수)</t>
    <phoneticPr fontId="3" type="noConversion"/>
  </si>
  <si>
    <r>
      <rPr>
        <sz val="12"/>
        <color theme="1"/>
        <rFont val="맑은 고딕"/>
        <family val="2"/>
        <charset val="129"/>
        <scheme val="minor"/>
      </rPr>
      <t>시범경기</t>
    </r>
    <phoneticPr fontId="3" type="noConversion"/>
  </si>
  <si>
    <r>
      <rPr>
        <sz val="12"/>
        <color theme="1"/>
        <rFont val="맑은 고딕"/>
        <family val="2"/>
        <charset val="129"/>
        <scheme val="minor"/>
      </rPr>
      <t>정규시즌</t>
    </r>
    <phoneticPr fontId="3" type="noConversion"/>
  </si>
  <si>
    <t>팀</t>
    <phoneticPr fontId="3" type="noConversion"/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</si>
  <si>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</si>
  <si>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</si>
  <si>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</si>
  <si>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</si>
  <si>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</si>
  <si>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</si>
  <si>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</si>
  <si>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</si>
  <si>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</si>
  <si>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</si>
  <si>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</si>
  <si>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</si>
  <si>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</si>
  <si>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</si>
  <si>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</si>
  <si>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</si>
  <si>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</si>
  <si>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</si>
  <si>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</si>
  <si>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</si>
  <si>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경기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</si>
</sst>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_ "/>
    <numFmt numFmtId="183" formatCode="0.000_ "/>
  </numFmts>
  <fonts count="6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222222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183" fontId="0" fillId="0" borderId="0" xfId="0" applyNumberFormat="1" applyFont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83" fontId="2" fillId="2" borderId="0" xfId="0" applyNumberFormat="1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7A47-7D14-674C-944C-CAF0D1A58714}">
  <dimension ref="A1:M40"/>
  <sheetViews>
    <sheetView workbookViewId="0">
      <selection sqref="A1:L40"/>
    </sheetView>
  </sheetViews>
  <sheetFormatPr baseColWidth="10" defaultRowHeight="18"/>
  <cols>
    <col min="1" max="1" width="9.42578125" style="1" bestFit="1" customWidth="1"/>
    <col min="2" max="2" width="11.140625" style="1" bestFit="1" customWidth="1"/>
    <col min="3" max="3" width="12.5703125" style="1" bestFit="1" customWidth="1"/>
    <col min="4" max="4" width="14.140625" style="1" bestFit="1" customWidth="1"/>
    <col min="5" max="5" width="14.7109375" style="2" bestFit="1" customWidth="1"/>
    <col min="6" max="7" width="15.85546875" style="1" bestFit="1" customWidth="1"/>
    <col min="8" max="8" width="19.7109375" style="3" bestFit="1" customWidth="1"/>
    <col min="9" max="9" width="24.42578125" style="1" bestFit="1" customWidth="1"/>
    <col min="10" max="10" width="24.7109375" style="1" bestFit="1" customWidth="1"/>
    <col min="11" max="11" width="26.28515625" style="1" bestFit="1" customWidth="1"/>
    <col min="12" max="12" width="12.28515625" style="1" bestFit="1" customWidth="1"/>
    <col min="13" max="16384" width="10.7109375" style="1"/>
  </cols>
  <sheetData>
    <row r="1" spans="1:12">
      <c r="A1" s="1" t="s">
        <v>8</v>
      </c>
      <c r="B1" s="1" t="s">
        <v>7</v>
      </c>
      <c r="C1" s="1" t="s">
        <v>6</v>
      </c>
      <c r="D1" s="1" t="s">
        <v>5</v>
      </c>
      <c r="E1" s="6" t="s">
        <v>4</v>
      </c>
      <c r="F1" s="1" t="s">
        <v>10</v>
      </c>
      <c r="G1" s="1" t="s">
        <v>11</v>
      </c>
      <c r="H1" s="7" t="s">
        <v>3</v>
      </c>
      <c r="I1" s="8" t="s">
        <v>12</v>
      </c>
      <c r="J1" s="10" t="s">
        <v>13</v>
      </c>
      <c r="K1" s="10" t="s">
        <v>14</v>
      </c>
      <c r="L1" s="9" t="s">
        <v>2</v>
      </c>
    </row>
    <row r="2" spans="1:12">
      <c r="A2" s="1">
        <v>2006</v>
      </c>
      <c r="B2" s="1" t="s">
        <v>1</v>
      </c>
      <c r="C2" s="1">
        <v>376</v>
      </c>
      <c r="D2" s="1">
        <v>167</v>
      </c>
      <c r="E2" s="2">
        <f>D2/C2</f>
        <v>0.44414893617021278</v>
      </c>
      <c r="F2" s="1">
        <v>16</v>
      </c>
      <c r="G2" s="1">
        <v>4</v>
      </c>
      <c r="H2" s="3">
        <f>F2/(F2+G2)*100</f>
        <v>80</v>
      </c>
      <c r="I2" s="1">
        <v>33</v>
      </c>
      <c r="J2" s="1">
        <v>40</v>
      </c>
      <c r="K2" s="1">
        <v>65</v>
      </c>
      <c r="L2" s="1">
        <v>34</v>
      </c>
    </row>
    <row r="3" spans="1:12">
      <c r="A3" s="1">
        <v>2006</v>
      </c>
      <c r="B3" s="1" t="s">
        <v>0</v>
      </c>
      <c r="C3" s="1">
        <v>4217</v>
      </c>
      <c r="D3" s="1">
        <v>1493</v>
      </c>
      <c r="E3" s="2">
        <f>D3/C3</f>
        <v>0.35404315864358549</v>
      </c>
      <c r="F3" s="4">
        <v>84</v>
      </c>
      <c r="G3" s="4">
        <v>33</v>
      </c>
      <c r="H3" s="5">
        <v>71.8</v>
      </c>
      <c r="I3" s="4">
        <v>330</v>
      </c>
      <c r="J3" s="4">
        <v>439</v>
      </c>
      <c r="K3" s="4">
        <v>625</v>
      </c>
      <c r="L3" s="4">
        <v>574</v>
      </c>
    </row>
    <row r="4" spans="1:12">
      <c r="A4" s="1">
        <v>2007</v>
      </c>
      <c r="B4" s="1" t="s">
        <v>1</v>
      </c>
      <c r="C4" s="4">
        <v>355</v>
      </c>
      <c r="D4" s="4">
        <v>111</v>
      </c>
      <c r="E4" s="2">
        <f>D4/C4</f>
        <v>0.3126760563380282</v>
      </c>
      <c r="F4" s="4">
        <v>9</v>
      </c>
      <c r="G4" s="4">
        <v>4</v>
      </c>
      <c r="H4" s="3">
        <f t="shared" ref="H4:H6" si="0">F4/(F4+G4)*100</f>
        <v>69.230769230769226</v>
      </c>
      <c r="I4" s="4">
        <v>43</v>
      </c>
      <c r="J4" s="4">
        <v>26</v>
      </c>
      <c r="K4" s="4">
        <v>43</v>
      </c>
      <c r="L4" s="4">
        <v>51</v>
      </c>
    </row>
    <row r="5" spans="1:12">
      <c r="A5" s="1">
        <v>2007</v>
      </c>
      <c r="B5" s="1" t="s">
        <v>0</v>
      </c>
      <c r="C5" s="4">
        <v>4322</v>
      </c>
      <c r="D5" s="4">
        <v>1618</v>
      </c>
      <c r="E5" s="2">
        <f>D5/C5</f>
        <v>0.37436372049976863</v>
      </c>
      <c r="F5" s="4">
        <v>130</v>
      </c>
      <c r="G5" s="4">
        <v>46</v>
      </c>
      <c r="H5" s="5">
        <v>73.900000000000006</v>
      </c>
      <c r="I5" s="4">
        <v>431</v>
      </c>
      <c r="J5" s="4">
        <v>514</v>
      </c>
      <c r="K5" s="4">
        <v>630</v>
      </c>
      <c r="L5" s="4">
        <v>600</v>
      </c>
    </row>
    <row r="6" spans="1:12">
      <c r="A6" s="1">
        <v>2008</v>
      </c>
      <c r="B6" s="1" t="s">
        <v>1</v>
      </c>
      <c r="C6" s="1">
        <v>385</v>
      </c>
      <c r="D6" s="1">
        <v>115</v>
      </c>
      <c r="E6" s="2">
        <f>D6/C6</f>
        <v>0.29870129870129869</v>
      </c>
      <c r="F6" s="1">
        <v>13</v>
      </c>
      <c r="G6" s="1">
        <v>5</v>
      </c>
      <c r="H6" s="3">
        <f t="shared" si="0"/>
        <v>72.222222222222214</v>
      </c>
      <c r="I6" s="1">
        <v>43</v>
      </c>
      <c r="J6" s="1">
        <v>35</v>
      </c>
      <c r="K6" s="1">
        <v>56</v>
      </c>
      <c r="L6" s="1">
        <v>44</v>
      </c>
    </row>
    <row r="7" spans="1:12">
      <c r="A7" s="1">
        <v>2008</v>
      </c>
      <c r="B7" s="1" t="s">
        <v>0</v>
      </c>
      <c r="C7" s="1">
        <v>4184</v>
      </c>
      <c r="D7" s="1">
        <v>1478</v>
      </c>
      <c r="E7" s="2">
        <f>D7/C7</f>
        <v>0.3532504780114723</v>
      </c>
      <c r="F7" s="4">
        <v>111</v>
      </c>
      <c r="G7" s="4">
        <v>45</v>
      </c>
      <c r="H7" s="5">
        <v>71.2</v>
      </c>
      <c r="I7" s="4">
        <v>364</v>
      </c>
      <c r="J7" s="4">
        <v>480</v>
      </c>
      <c r="K7" s="4">
        <v>631</v>
      </c>
      <c r="L7" s="4">
        <v>646</v>
      </c>
    </row>
    <row r="8" spans="1:12">
      <c r="A8" s="1">
        <v>2009</v>
      </c>
      <c r="B8" s="1" t="s">
        <v>1</v>
      </c>
      <c r="C8" s="1">
        <v>394</v>
      </c>
      <c r="D8" s="1">
        <v>134</v>
      </c>
      <c r="E8" s="2">
        <f>D8/C8</f>
        <v>0.34010152284263961</v>
      </c>
      <c r="F8" s="1">
        <v>20</v>
      </c>
      <c r="G8" s="1">
        <v>5</v>
      </c>
      <c r="H8" s="3">
        <f>F8/(F8+G8)*100</f>
        <v>80</v>
      </c>
      <c r="I8" s="1">
        <v>43</v>
      </c>
      <c r="J8" s="1">
        <v>37</v>
      </c>
      <c r="K8" s="1">
        <v>62</v>
      </c>
      <c r="L8" s="1">
        <v>61</v>
      </c>
    </row>
    <row r="9" spans="1:12">
      <c r="A9" s="1">
        <v>2009</v>
      </c>
      <c r="B9" s="1" t="s">
        <v>0</v>
      </c>
      <c r="C9" s="1">
        <v>4505</v>
      </c>
      <c r="D9" s="1">
        <v>1862</v>
      </c>
      <c r="E9" s="2">
        <f>D9/C9</f>
        <v>0.41331853496115428</v>
      </c>
      <c r="F9" s="4">
        <v>141</v>
      </c>
      <c r="G9" s="4">
        <v>47</v>
      </c>
      <c r="H9" s="5">
        <v>75</v>
      </c>
      <c r="I9" s="4">
        <v>552</v>
      </c>
      <c r="J9" s="4">
        <v>585</v>
      </c>
      <c r="K9" s="4">
        <v>777</v>
      </c>
      <c r="L9" s="4">
        <v>763</v>
      </c>
    </row>
    <row r="10" spans="1:12">
      <c r="A10" s="1">
        <v>2010</v>
      </c>
      <c r="B10" s="1" t="s">
        <v>1</v>
      </c>
      <c r="C10" s="1">
        <v>374</v>
      </c>
      <c r="D10" s="1">
        <v>119</v>
      </c>
      <c r="E10" s="2">
        <f>D10/C10</f>
        <v>0.31818181818181818</v>
      </c>
      <c r="F10" s="1">
        <v>22</v>
      </c>
      <c r="G10" s="1">
        <v>5</v>
      </c>
      <c r="H10" s="3">
        <f>F10/(F10+G10)*100</f>
        <v>81.481481481481481</v>
      </c>
      <c r="I10" s="1">
        <v>38</v>
      </c>
      <c r="J10" s="1">
        <v>38</v>
      </c>
      <c r="K10" s="1">
        <v>67</v>
      </c>
      <c r="L10" s="1">
        <v>64</v>
      </c>
    </row>
    <row r="11" spans="1:12">
      <c r="A11" s="1">
        <v>2010</v>
      </c>
      <c r="B11" s="1" t="s">
        <v>0</v>
      </c>
      <c r="C11" s="1">
        <v>4604</v>
      </c>
      <c r="D11" s="1">
        <v>1890</v>
      </c>
      <c r="E11" s="2">
        <f>D11/C11</f>
        <v>0.41051259774109472</v>
      </c>
      <c r="F11" s="4">
        <v>169</v>
      </c>
      <c r="G11" s="4">
        <v>56</v>
      </c>
      <c r="H11" s="5">
        <v>75.099999999999994</v>
      </c>
      <c r="I11" s="4">
        <v>486</v>
      </c>
      <c r="J11" s="4">
        <v>560</v>
      </c>
      <c r="K11" s="4">
        <v>793</v>
      </c>
      <c r="L11" s="4">
        <v>746</v>
      </c>
    </row>
    <row r="12" spans="1:12">
      <c r="A12" s="1">
        <v>2011</v>
      </c>
      <c r="B12" s="1" t="s">
        <v>1</v>
      </c>
      <c r="C12" s="1">
        <v>436</v>
      </c>
      <c r="D12" s="1">
        <v>169</v>
      </c>
      <c r="E12" s="2">
        <f>D12/C12</f>
        <v>0.38761467889908258</v>
      </c>
      <c r="F12" s="1">
        <v>29</v>
      </c>
      <c r="G12" s="1">
        <v>5</v>
      </c>
      <c r="H12" s="3">
        <f>F12/(F12+G12)*100</f>
        <v>85.294117647058826</v>
      </c>
      <c r="I12" s="1">
        <v>46</v>
      </c>
      <c r="J12" s="1">
        <v>41</v>
      </c>
      <c r="K12" s="1">
        <v>86</v>
      </c>
      <c r="L12" s="1">
        <v>49</v>
      </c>
    </row>
    <row r="13" spans="1:12">
      <c r="A13" s="1">
        <v>2011</v>
      </c>
      <c r="B13" s="1" t="s">
        <v>0</v>
      </c>
      <c r="C13" s="1">
        <v>4522</v>
      </c>
      <c r="D13" s="1">
        <v>1707</v>
      </c>
      <c r="E13" s="2">
        <f>D13/C13</f>
        <v>0.37748783724015922</v>
      </c>
      <c r="F13" s="4">
        <v>116</v>
      </c>
      <c r="G13" s="4">
        <v>52</v>
      </c>
      <c r="H13" s="5">
        <v>69</v>
      </c>
      <c r="I13" s="4">
        <v>463</v>
      </c>
      <c r="J13" s="4">
        <v>512</v>
      </c>
      <c r="K13" s="4">
        <v>827</v>
      </c>
      <c r="L13" s="4">
        <v>620</v>
      </c>
    </row>
    <row r="14" spans="1:12">
      <c r="A14" s="1">
        <v>2012</v>
      </c>
      <c r="B14" s="1" t="s">
        <v>1</v>
      </c>
      <c r="C14" s="1">
        <v>428</v>
      </c>
      <c r="D14" s="1">
        <v>142</v>
      </c>
      <c r="E14" s="2">
        <f>D14/C14</f>
        <v>0.33177570093457942</v>
      </c>
      <c r="F14" s="1">
        <v>7</v>
      </c>
      <c r="G14" s="1">
        <v>6</v>
      </c>
      <c r="H14" s="3">
        <f>F14/(F14+G14)*100</f>
        <v>53.846153846153847</v>
      </c>
      <c r="I14" s="1">
        <v>35</v>
      </c>
      <c r="J14" s="1">
        <v>36</v>
      </c>
      <c r="K14" s="1">
        <v>74</v>
      </c>
      <c r="L14" s="1">
        <v>59</v>
      </c>
    </row>
    <row r="15" spans="1:12">
      <c r="A15" s="1">
        <v>2012</v>
      </c>
      <c r="B15" s="1" t="s">
        <v>0</v>
      </c>
      <c r="C15" s="1">
        <v>4539</v>
      </c>
      <c r="D15" s="1">
        <v>1609</v>
      </c>
      <c r="E15" s="2">
        <f>D15/C15</f>
        <v>0.35448336638025996</v>
      </c>
      <c r="F15" s="4">
        <v>140</v>
      </c>
      <c r="G15" s="4">
        <v>57</v>
      </c>
      <c r="H15" s="5">
        <v>71.099999999999994</v>
      </c>
      <c r="I15" s="4">
        <v>458</v>
      </c>
      <c r="J15" s="4">
        <v>422</v>
      </c>
      <c r="K15" s="4">
        <v>735</v>
      </c>
      <c r="L15" s="4">
        <v>580</v>
      </c>
    </row>
    <row r="16" spans="1:12">
      <c r="A16" s="1">
        <v>2013</v>
      </c>
      <c r="B16" s="1" t="s">
        <v>1</v>
      </c>
      <c r="C16" s="1">
        <v>389</v>
      </c>
      <c r="D16" s="1">
        <v>115</v>
      </c>
      <c r="E16" s="2">
        <f>D16/C16</f>
        <v>0.29562982005141386</v>
      </c>
      <c r="F16" s="1">
        <v>15</v>
      </c>
      <c r="G16" s="1">
        <v>5</v>
      </c>
      <c r="H16" s="3">
        <f>F16/(F16+G16)*100</f>
        <v>75</v>
      </c>
      <c r="I16" s="1">
        <v>41</v>
      </c>
      <c r="J16" s="1">
        <v>28</v>
      </c>
      <c r="K16" s="1">
        <v>74</v>
      </c>
      <c r="L16" s="1">
        <v>56</v>
      </c>
    </row>
    <row r="17" spans="1:13">
      <c r="A17" s="1">
        <v>2013</v>
      </c>
      <c r="B17" s="1" t="s">
        <v>0</v>
      </c>
      <c r="C17" s="1">
        <v>4271</v>
      </c>
      <c r="D17" s="1">
        <v>1485</v>
      </c>
      <c r="E17" s="2">
        <f>D17/C17</f>
        <v>0.34769374853664248</v>
      </c>
      <c r="F17" s="4">
        <v>139</v>
      </c>
      <c r="G17" s="4">
        <v>71</v>
      </c>
      <c r="H17" s="5">
        <v>66.2</v>
      </c>
      <c r="I17" s="4">
        <v>451</v>
      </c>
      <c r="J17" s="4">
        <v>406</v>
      </c>
      <c r="K17" s="4">
        <v>822</v>
      </c>
      <c r="L17" s="4">
        <v>510</v>
      </c>
    </row>
    <row r="18" spans="1:13">
      <c r="A18" s="1">
        <v>2014</v>
      </c>
      <c r="B18" s="1" t="s">
        <v>1</v>
      </c>
      <c r="C18" s="1">
        <v>346</v>
      </c>
      <c r="D18" s="1">
        <v>144</v>
      </c>
      <c r="E18" s="2">
        <f>D18/C18</f>
        <v>0.41618497109826591</v>
      </c>
      <c r="F18" s="1">
        <v>9</v>
      </c>
      <c r="G18" s="1">
        <v>0</v>
      </c>
      <c r="H18" s="3">
        <f>F18/(F18+G18)*100</f>
        <v>100</v>
      </c>
      <c r="I18" s="1">
        <v>25</v>
      </c>
      <c r="J18" s="1">
        <v>30</v>
      </c>
      <c r="K18" s="1">
        <v>45</v>
      </c>
      <c r="L18" s="1">
        <v>43</v>
      </c>
    </row>
    <row r="19" spans="1:13">
      <c r="A19" s="1">
        <v>2014</v>
      </c>
      <c r="B19" s="1" t="s">
        <v>0</v>
      </c>
      <c r="C19" s="1">
        <v>4417</v>
      </c>
      <c r="D19" s="1">
        <v>1834</v>
      </c>
      <c r="E19" s="2">
        <f>D19/C19</f>
        <v>0.41521394611727419</v>
      </c>
      <c r="F19" s="4">
        <v>105</v>
      </c>
      <c r="G19" s="4">
        <v>64</v>
      </c>
      <c r="H19" s="5">
        <v>62.1</v>
      </c>
      <c r="I19" s="4">
        <v>524</v>
      </c>
      <c r="J19" s="4">
        <v>419</v>
      </c>
      <c r="K19" s="4">
        <v>810</v>
      </c>
      <c r="L19" s="4">
        <v>643</v>
      </c>
    </row>
    <row r="20" spans="1:13">
      <c r="A20" s="1">
        <v>2015</v>
      </c>
      <c r="B20" s="1" t="s">
        <v>1</v>
      </c>
      <c r="C20" s="1">
        <v>404</v>
      </c>
      <c r="D20" s="1">
        <v>193</v>
      </c>
      <c r="E20" s="2">
        <f>D20/C20</f>
        <v>0.4777227722772277</v>
      </c>
      <c r="F20" s="1">
        <v>11</v>
      </c>
      <c r="G20" s="1">
        <v>10</v>
      </c>
      <c r="H20" s="3">
        <f>F20/(F20+G20)*100</f>
        <v>52.380952380952387</v>
      </c>
      <c r="I20" s="1">
        <v>53</v>
      </c>
      <c r="J20" s="1">
        <v>35</v>
      </c>
      <c r="K20" s="1">
        <v>83</v>
      </c>
      <c r="L20" s="1">
        <v>50</v>
      </c>
    </row>
    <row r="21" spans="1:13">
      <c r="A21" s="1">
        <v>2015</v>
      </c>
      <c r="B21" s="1" t="s">
        <v>0</v>
      </c>
      <c r="C21" s="1">
        <v>4941</v>
      </c>
      <c r="D21" s="1">
        <v>1969</v>
      </c>
      <c r="E21" s="2">
        <f>D21/C21</f>
        <v>0.3985023274640761</v>
      </c>
      <c r="F21" s="4">
        <v>113</v>
      </c>
      <c r="G21" s="4">
        <v>62</v>
      </c>
      <c r="H21" s="5">
        <v>64.599999999999994</v>
      </c>
      <c r="I21" s="4">
        <v>462</v>
      </c>
      <c r="J21" s="4">
        <v>490</v>
      </c>
      <c r="K21" s="4">
        <v>1063</v>
      </c>
      <c r="L21" s="4">
        <v>721</v>
      </c>
    </row>
    <row r="22" spans="1:13">
      <c r="A22" s="1">
        <v>2016</v>
      </c>
      <c r="B22" s="1" t="s">
        <v>1</v>
      </c>
      <c r="C22" s="1">
        <v>560</v>
      </c>
      <c r="D22" s="1">
        <v>225</v>
      </c>
      <c r="E22" s="2">
        <f>D22/C22</f>
        <v>0.4017857142857143</v>
      </c>
      <c r="F22" s="1">
        <v>33</v>
      </c>
      <c r="G22" s="1">
        <v>15</v>
      </c>
      <c r="H22" s="3">
        <f>F22/(F22+G22)*100</f>
        <v>68.75</v>
      </c>
      <c r="I22" s="1">
        <v>59</v>
      </c>
      <c r="J22" s="1">
        <v>50</v>
      </c>
      <c r="K22" s="1">
        <v>89</v>
      </c>
      <c r="L22" s="1">
        <v>82</v>
      </c>
    </row>
    <row r="23" spans="1:13">
      <c r="A23" s="1">
        <v>2016</v>
      </c>
      <c r="B23" s="1" t="s">
        <v>0</v>
      </c>
      <c r="C23" s="1">
        <v>5051</v>
      </c>
      <c r="D23" s="1">
        <v>2108</v>
      </c>
      <c r="E23" s="2">
        <f>D23/C23</f>
        <v>0.41734310037616312</v>
      </c>
      <c r="F23" s="4">
        <v>121</v>
      </c>
      <c r="G23" s="4">
        <v>70</v>
      </c>
      <c r="H23" s="5">
        <v>63.4</v>
      </c>
      <c r="I23" s="4">
        <v>523</v>
      </c>
      <c r="J23" s="4">
        <v>539</v>
      </c>
      <c r="K23" s="4">
        <v>909</v>
      </c>
      <c r="L23" s="4">
        <v>807</v>
      </c>
    </row>
    <row r="24" spans="1:13">
      <c r="A24" s="1">
        <v>2017</v>
      </c>
      <c r="B24" s="1" t="s">
        <v>1</v>
      </c>
      <c r="C24" s="1">
        <v>411</v>
      </c>
      <c r="D24" s="1">
        <v>178</v>
      </c>
      <c r="E24" s="2">
        <f>D24/C24</f>
        <v>0.43309002433090027</v>
      </c>
      <c r="F24" s="1">
        <v>7</v>
      </c>
      <c r="G24" s="1">
        <v>10</v>
      </c>
      <c r="H24" s="3">
        <f>F24/(F24+G24)*100</f>
        <v>41.17647058823529</v>
      </c>
      <c r="I24" s="1">
        <v>32</v>
      </c>
      <c r="J24" s="1">
        <v>33</v>
      </c>
      <c r="K24" s="1">
        <v>88</v>
      </c>
      <c r="L24" s="1">
        <v>54</v>
      </c>
    </row>
    <row r="25" spans="1:13">
      <c r="A25" s="1">
        <v>2017</v>
      </c>
      <c r="B25" s="1" t="s">
        <v>0</v>
      </c>
      <c r="C25" s="1">
        <v>4944</v>
      </c>
      <c r="D25" s="1">
        <v>1976</v>
      </c>
      <c r="E25" s="2">
        <f>D25/C25</f>
        <v>0.39967637540453077</v>
      </c>
      <c r="F25" s="4">
        <v>77</v>
      </c>
      <c r="G25" s="4">
        <v>56</v>
      </c>
      <c r="H25" s="5">
        <v>57.9</v>
      </c>
      <c r="I25" s="4">
        <v>438</v>
      </c>
      <c r="J25" s="4">
        <v>379</v>
      </c>
      <c r="K25" s="4">
        <v>1040</v>
      </c>
      <c r="L25" s="4">
        <v>677</v>
      </c>
      <c r="M25" s="4"/>
    </row>
    <row r="26" spans="1:13">
      <c r="A26" s="1">
        <v>2018</v>
      </c>
      <c r="B26" s="1" t="s">
        <v>1</v>
      </c>
      <c r="C26" s="1">
        <v>222</v>
      </c>
      <c r="D26" s="1">
        <v>81</v>
      </c>
      <c r="E26" s="2">
        <f>D26/C26</f>
        <v>0.36486486486486486</v>
      </c>
      <c r="F26" s="1">
        <v>5</v>
      </c>
      <c r="G26" s="1">
        <v>4</v>
      </c>
      <c r="H26" s="3">
        <f>F26/(F26+G26)*100</f>
        <v>55.555555555555557</v>
      </c>
      <c r="I26" s="1">
        <v>22</v>
      </c>
      <c r="J26" s="1">
        <v>27</v>
      </c>
      <c r="K26" s="1">
        <v>58</v>
      </c>
      <c r="L26" s="1">
        <v>30</v>
      </c>
    </row>
    <row r="27" spans="1:13">
      <c r="A27" s="1">
        <v>2018</v>
      </c>
      <c r="B27" s="1" t="s">
        <v>0</v>
      </c>
      <c r="C27" s="1">
        <v>5070</v>
      </c>
      <c r="D27" s="1">
        <v>2254</v>
      </c>
      <c r="E27" s="2">
        <f>D27/C27</f>
        <v>0.44457593688362917</v>
      </c>
      <c r="F27" s="4">
        <v>71</v>
      </c>
      <c r="G27" s="4">
        <v>38</v>
      </c>
      <c r="H27" s="5">
        <v>65.099999999999994</v>
      </c>
      <c r="I27" s="4">
        <v>418</v>
      </c>
      <c r="J27" s="4">
        <v>453</v>
      </c>
      <c r="K27" s="4">
        <v>1058</v>
      </c>
      <c r="L27" s="4">
        <v>816</v>
      </c>
    </row>
    <row r="28" spans="1:13">
      <c r="A28" s="1">
        <v>2019</v>
      </c>
      <c r="B28" s="1" t="s">
        <v>1</v>
      </c>
      <c r="C28" s="1">
        <v>219</v>
      </c>
      <c r="D28" s="1">
        <v>89</v>
      </c>
      <c r="E28" s="2">
        <f>D28/C28</f>
        <v>0.40639269406392692</v>
      </c>
      <c r="F28" s="1">
        <v>8</v>
      </c>
      <c r="G28" s="1">
        <v>1</v>
      </c>
      <c r="H28" s="3">
        <f>F28/(F28+G28)*100</f>
        <v>88.888888888888886</v>
      </c>
      <c r="I28" s="1">
        <v>26</v>
      </c>
      <c r="J28" s="1">
        <v>26</v>
      </c>
      <c r="K28" s="1">
        <v>49</v>
      </c>
      <c r="L28" s="1">
        <v>33</v>
      </c>
    </row>
    <row r="29" spans="1:13">
      <c r="A29" s="1">
        <v>2019</v>
      </c>
      <c r="B29" s="1" t="s">
        <v>0</v>
      </c>
      <c r="C29" s="1">
        <v>4928</v>
      </c>
      <c r="D29" s="1">
        <v>1861</v>
      </c>
      <c r="E29" s="2">
        <f>D29/C29</f>
        <v>0.37763798701298701</v>
      </c>
      <c r="F29" s="4">
        <v>108</v>
      </c>
      <c r="G29" s="4">
        <v>47</v>
      </c>
      <c r="H29" s="5">
        <v>69.7</v>
      </c>
      <c r="I29" s="4">
        <v>434</v>
      </c>
      <c r="J29" s="4">
        <v>499</v>
      </c>
      <c r="K29" s="4">
        <v>953</v>
      </c>
      <c r="L29" s="4">
        <v>633</v>
      </c>
    </row>
    <row r="30" spans="1:13">
      <c r="A30" s="1">
        <v>2020</v>
      </c>
      <c r="B30" s="1" t="s">
        <v>0</v>
      </c>
      <c r="C30" s="1">
        <v>4999</v>
      </c>
      <c r="D30" s="1">
        <v>2142</v>
      </c>
      <c r="E30" s="2">
        <f>D30/C30</f>
        <v>0.42848569713942791</v>
      </c>
      <c r="F30" s="4">
        <v>83</v>
      </c>
      <c r="G30" s="4">
        <v>39</v>
      </c>
      <c r="H30" s="5">
        <v>68</v>
      </c>
      <c r="I30" s="4">
        <v>509</v>
      </c>
      <c r="J30" s="4">
        <v>493</v>
      </c>
      <c r="K30" s="4">
        <v>1019</v>
      </c>
      <c r="L30" s="4">
        <v>694</v>
      </c>
    </row>
    <row r="31" spans="1:13">
      <c r="A31" s="1">
        <v>2021</v>
      </c>
      <c r="B31" s="1" t="s">
        <v>1</v>
      </c>
      <c r="C31" s="1">
        <v>256</v>
      </c>
      <c r="D31" s="1">
        <v>77</v>
      </c>
      <c r="E31" s="2">
        <f>D31/C31</f>
        <v>0.30078125</v>
      </c>
      <c r="F31" s="1">
        <v>7</v>
      </c>
      <c r="G31" s="1">
        <v>5</v>
      </c>
      <c r="H31" s="3">
        <f>F31/(F31+G31)*100</f>
        <v>58.333333333333336</v>
      </c>
      <c r="I31" s="1">
        <v>32</v>
      </c>
      <c r="J31" s="1">
        <v>30</v>
      </c>
      <c r="K31" s="1">
        <v>45</v>
      </c>
      <c r="L31" s="1">
        <v>35</v>
      </c>
    </row>
    <row r="32" spans="1:13">
      <c r="A32" s="1">
        <v>2021</v>
      </c>
      <c r="B32" s="1" t="s">
        <v>0</v>
      </c>
      <c r="C32" s="1">
        <v>4750</v>
      </c>
      <c r="D32" s="1">
        <v>1750</v>
      </c>
      <c r="E32" s="2">
        <f>D32/C32</f>
        <v>0.36842105263157893</v>
      </c>
      <c r="F32" s="4">
        <v>92</v>
      </c>
      <c r="G32" s="4">
        <v>34</v>
      </c>
      <c r="H32" s="5">
        <v>73</v>
      </c>
      <c r="I32" s="4">
        <v>592</v>
      </c>
      <c r="J32" s="4">
        <v>545</v>
      </c>
      <c r="K32" s="4">
        <v>1068</v>
      </c>
      <c r="L32" s="4">
        <v>561</v>
      </c>
    </row>
    <row r="33" spans="1:13">
      <c r="A33" s="1">
        <v>2022</v>
      </c>
      <c r="B33" s="1" t="s">
        <v>1</v>
      </c>
      <c r="C33" s="1">
        <v>466</v>
      </c>
      <c r="D33" s="1">
        <v>202</v>
      </c>
      <c r="E33" s="2">
        <f>D33/C33</f>
        <v>0.4334763948497854</v>
      </c>
      <c r="F33" s="1">
        <v>6</v>
      </c>
      <c r="G33" s="1">
        <v>1</v>
      </c>
      <c r="H33" s="3">
        <f>F33/(F33+G33)*100</f>
        <v>85.714285714285708</v>
      </c>
      <c r="I33" s="1">
        <v>35</v>
      </c>
      <c r="J33" s="1">
        <v>45</v>
      </c>
      <c r="K33" s="1">
        <v>105</v>
      </c>
      <c r="L33" s="1">
        <v>36</v>
      </c>
    </row>
    <row r="34" spans="1:13">
      <c r="A34" s="1">
        <v>2022</v>
      </c>
      <c r="B34" s="1" t="s">
        <v>0</v>
      </c>
      <c r="C34" s="1">
        <v>4927</v>
      </c>
      <c r="D34" s="1">
        <v>1953</v>
      </c>
      <c r="E34" s="2">
        <f>D34/C34</f>
        <v>0.39638725390704282</v>
      </c>
      <c r="F34" s="4">
        <v>102</v>
      </c>
      <c r="G34" s="4">
        <v>46</v>
      </c>
      <c r="H34" s="5">
        <v>68.900000000000006</v>
      </c>
      <c r="I34" s="4">
        <v>501</v>
      </c>
      <c r="J34" s="4">
        <v>451</v>
      </c>
      <c r="K34" s="4">
        <v>1031</v>
      </c>
      <c r="L34" s="4">
        <v>521</v>
      </c>
      <c r="M34" s="4"/>
    </row>
    <row r="35" spans="1:13">
      <c r="A35" s="1">
        <v>2023</v>
      </c>
      <c r="B35" s="1" t="s">
        <v>1</v>
      </c>
      <c r="C35" s="1">
        <v>466</v>
      </c>
      <c r="D35" s="1">
        <v>170</v>
      </c>
      <c r="E35" s="2">
        <f>D35/C35</f>
        <v>0.36480686695278969</v>
      </c>
      <c r="F35" s="1">
        <v>32</v>
      </c>
      <c r="G35" s="1">
        <v>18</v>
      </c>
      <c r="H35" s="3">
        <f>F35/(F35+G35)*100</f>
        <v>64</v>
      </c>
      <c r="I35" s="1">
        <v>68</v>
      </c>
      <c r="J35" s="1">
        <v>47</v>
      </c>
      <c r="K35" s="1">
        <v>87</v>
      </c>
      <c r="L35" s="1">
        <v>49</v>
      </c>
    </row>
    <row r="36" spans="1:13">
      <c r="A36" s="1">
        <v>2023</v>
      </c>
      <c r="B36" s="1" t="s">
        <v>0</v>
      </c>
      <c r="C36" s="1">
        <v>4881</v>
      </c>
      <c r="D36" s="1">
        <v>1924</v>
      </c>
      <c r="E36" s="2">
        <f>D36/C36</f>
        <v>0.3941815201802909</v>
      </c>
      <c r="F36" s="4">
        <v>166</v>
      </c>
      <c r="G36" s="4">
        <v>101</v>
      </c>
      <c r="H36" s="5">
        <v>62.2</v>
      </c>
      <c r="I36" s="4">
        <v>583</v>
      </c>
      <c r="J36" s="4">
        <v>491</v>
      </c>
      <c r="K36" s="4">
        <v>977</v>
      </c>
      <c r="L36" s="4">
        <v>610</v>
      </c>
      <c r="M36" s="4"/>
    </row>
    <row r="37" spans="1:13">
      <c r="A37" s="1">
        <v>2024</v>
      </c>
      <c r="B37" s="1" t="s">
        <v>1</v>
      </c>
      <c r="C37" s="1">
        <v>268</v>
      </c>
      <c r="D37" s="1">
        <v>96</v>
      </c>
      <c r="E37" s="2">
        <f>D37/C37</f>
        <v>0.35820895522388058</v>
      </c>
      <c r="F37" s="1">
        <v>14</v>
      </c>
      <c r="G37" s="1">
        <v>2</v>
      </c>
      <c r="H37" s="3">
        <f>F37/(F37+G37)*100</f>
        <v>87.5</v>
      </c>
      <c r="I37" s="1">
        <v>18</v>
      </c>
      <c r="J37" s="1">
        <v>33</v>
      </c>
      <c r="K37" s="1">
        <v>53</v>
      </c>
      <c r="L37" s="1">
        <v>22</v>
      </c>
    </row>
    <row r="38" spans="1:13">
      <c r="A38" s="1">
        <v>2024</v>
      </c>
      <c r="B38" s="1" t="s">
        <v>0</v>
      </c>
      <c r="C38" s="1">
        <v>4919</v>
      </c>
      <c r="D38" s="1">
        <v>2035</v>
      </c>
      <c r="E38" s="2">
        <f>D38/C38</f>
        <v>0.41370197194551739</v>
      </c>
      <c r="F38" s="4">
        <v>171</v>
      </c>
      <c r="G38" s="4">
        <v>79</v>
      </c>
      <c r="H38" s="5">
        <v>68.400000000000006</v>
      </c>
      <c r="I38" s="4">
        <v>616</v>
      </c>
      <c r="J38" s="4">
        <v>529</v>
      </c>
      <c r="K38" s="4">
        <v>1082</v>
      </c>
      <c r="L38" s="4">
        <v>728</v>
      </c>
    </row>
    <row r="39" spans="1:13">
      <c r="A39" s="1">
        <v>2025</v>
      </c>
      <c r="B39" s="1" t="s">
        <v>1</v>
      </c>
      <c r="C39" s="1">
        <v>307</v>
      </c>
      <c r="D39" s="1">
        <v>94</v>
      </c>
      <c r="E39" s="2">
        <f>D39/C39</f>
        <v>0.30618892508143325</v>
      </c>
      <c r="F39" s="1">
        <v>13</v>
      </c>
      <c r="G39" s="1">
        <v>3</v>
      </c>
      <c r="H39" s="3">
        <f>F39/(F39+G39)*100</f>
        <v>81.25</v>
      </c>
      <c r="I39" s="1">
        <v>40</v>
      </c>
      <c r="J39" s="1">
        <v>46</v>
      </c>
      <c r="K39" s="1">
        <v>62</v>
      </c>
      <c r="L39" s="1">
        <v>41</v>
      </c>
    </row>
    <row r="40" spans="1:13">
      <c r="A40" s="1">
        <v>2025</v>
      </c>
      <c r="B40" s="1" t="s">
        <v>0</v>
      </c>
      <c r="C40" s="1">
        <v>4919</v>
      </c>
      <c r="D40" s="1">
        <v>2013</v>
      </c>
      <c r="E40" s="2">
        <f>D40/C40</f>
        <v>0.409229518194755</v>
      </c>
      <c r="F40" s="4">
        <v>121</v>
      </c>
      <c r="G40" s="4">
        <v>49</v>
      </c>
      <c r="H40" s="5">
        <v>71.2</v>
      </c>
      <c r="I40" s="4">
        <v>604</v>
      </c>
      <c r="J40" s="4">
        <v>491</v>
      </c>
      <c r="K40" s="4">
        <v>1080</v>
      </c>
      <c r="L40" s="4">
        <v>584</v>
      </c>
    </row>
  </sheetData>
  <autoFilter ref="A1:L40" xr:uid="{BE337A47-7D14-674C-944C-CAF0D1A58714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A263-0776-C24D-8569-CDC3645D8C69}">
  <dimension ref="A1:O40"/>
  <sheetViews>
    <sheetView workbookViewId="0">
      <selection activeCell="A2" sqref="A2:L40"/>
    </sheetView>
  </sheetViews>
  <sheetFormatPr baseColWidth="10" defaultRowHeight="18"/>
  <cols>
    <col min="1" max="1" width="9.42578125" style="1" bestFit="1" customWidth="1"/>
    <col min="2" max="2" width="11.140625" style="1" bestFit="1" customWidth="1"/>
    <col min="3" max="3" width="12.5703125" style="1" bestFit="1" customWidth="1"/>
    <col min="4" max="4" width="14.140625" style="1" bestFit="1" customWidth="1"/>
    <col min="5" max="5" width="14.7109375" style="2" bestFit="1" customWidth="1"/>
    <col min="6" max="7" width="15.85546875" style="1" bestFit="1" customWidth="1"/>
    <col min="8" max="8" width="19.7109375" style="3" bestFit="1" customWidth="1"/>
    <col min="9" max="9" width="24.42578125" style="1" bestFit="1" customWidth="1"/>
    <col min="10" max="10" width="24.7109375" style="1" bestFit="1" customWidth="1"/>
    <col min="11" max="11" width="26.28515625" style="1" bestFit="1" customWidth="1"/>
    <col min="12" max="12" width="12.28515625" style="1" bestFit="1" customWidth="1"/>
    <col min="13" max="16384" width="10.7109375" style="1"/>
  </cols>
  <sheetData>
    <row r="1" spans="1:13">
      <c r="A1" s="1" t="s">
        <v>8</v>
      </c>
      <c r="B1" s="1" t="s">
        <v>7</v>
      </c>
      <c r="C1" s="1" t="s">
        <v>6</v>
      </c>
      <c r="D1" s="1" t="s">
        <v>5</v>
      </c>
      <c r="E1" s="6" t="s">
        <v>4</v>
      </c>
      <c r="F1" s="1" t="s">
        <v>10</v>
      </c>
      <c r="G1" s="1" t="s">
        <v>11</v>
      </c>
      <c r="H1" s="7" t="s">
        <v>3</v>
      </c>
      <c r="I1" s="8" t="s">
        <v>12</v>
      </c>
      <c r="J1" s="10" t="s">
        <v>13</v>
      </c>
      <c r="K1" s="10" t="s">
        <v>14</v>
      </c>
      <c r="L1" s="9" t="s">
        <v>2</v>
      </c>
    </row>
    <row r="2" spans="1:13">
      <c r="A2" s="1">
        <v>2006</v>
      </c>
      <c r="B2" s="1" t="s">
        <v>15</v>
      </c>
      <c r="C2" s="1">
        <v>414</v>
      </c>
      <c r="D2" s="1">
        <v>146</v>
      </c>
      <c r="E2" s="2">
        <f>D2/C2</f>
        <v>0.35265700483091789</v>
      </c>
      <c r="F2" s="1">
        <v>5</v>
      </c>
      <c r="G2" s="1">
        <v>3</v>
      </c>
      <c r="H2" s="3">
        <f>F2/(F2+G2)*100</f>
        <v>62.5</v>
      </c>
      <c r="I2" s="1">
        <v>37</v>
      </c>
      <c r="J2" s="1">
        <v>40</v>
      </c>
      <c r="K2" s="1">
        <v>51</v>
      </c>
      <c r="L2" s="1">
        <v>63</v>
      </c>
    </row>
    <row r="3" spans="1:13">
      <c r="A3" s="1">
        <v>2006</v>
      </c>
      <c r="B3" s="1" t="s">
        <v>16</v>
      </c>
      <c r="C3" s="4">
        <v>4170</v>
      </c>
      <c r="D3" s="4">
        <v>1584</v>
      </c>
      <c r="E3" s="2">
        <f>D3/C3</f>
        <v>0.37985611510791367</v>
      </c>
      <c r="F3" s="4">
        <v>71</v>
      </c>
      <c r="G3" s="4">
        <v>47</v>
      </c>
      <c r="H3" s="5">
        <v>60.2</v>
      </c>
      <c r="I3" s="4">
        <v>442</v>
      </c>
      <c r="J3" s="4">
        <v>373</v>
      </c>
      <c r="K3" s="4">
        <v>760</v>
      </c>
      <c r="L3" s="4">
        <v>475</v>
      </c>
      <c r="M3" s="4"/>
    </row>
    <row r="4" spans="1:13">
      <c r="A4" s="1">
        <v>2007</v>
      </c>
      <c r="B4" s="1" t="s">
        <v>15</v>
      </c>
      <c r="C4" s="1">
        <v>365</v>
      </c>
      <c r="D4" s="1">
        <v>137</v>
      </c>
      <c r="E4" s="2">
        <f>D4/C4</f>
        <v>0.37534246575342467</v>
      </c>
      <c r="F4" s="1">
        <v>1</v>
      </c>
      <c r="G4" s="1">
        <v>1</v>
      </c>
      <c r="H4" s="3">
        <f t="shared" ref="H4:H39" si="0">F4/(F4+G4)*100</f>
        <v>50</v>
      </c>
      <c r="I4" s="1">
        <v>31</v>
      </c>
      <c r="J4" s="1">
        <v>41</v>
      </c>
      <c r="K4" s="1">
        <v>63</v>
      </c>
      <c r="L4" s="1">
        <v>34</v>
      </c>
    </row>
    <row r="5" spans="1:13">
      <c r="A5" s="1">
        <v>2007</v>
      </c>
      <c r="B5" s="1" t="s">
        <v>16</v>
      </c>
      <c r="C5" s="4">
        <v>4128</v>
      </c>
      <c r="D5" s="4">
        <v>1553</v>
      </c>
      <c r="E5" s="2">
        <f>D5/C5</f>
        <v>0.37621124031007752</v>
      </c>
      <c r="F5" s="4">
        <v>48</v>
      </c>
      <c r="G5" s="4">
        <v>21</v>
      </c>
      <c r="H5" s="5">
        <v>69.599999999999994</v>
      </c>
      <c r="I5" s="4">
        <v>506</v>
      </c>
      <c r="J5" s="4">
        <v>451</v>
      </c>
      <c r="K5" s="4">
        <v>741</v>
      </c>
      <c r="L5" s="4">
        <v>481</v>
      </c>
    </row>
    <row r="6" spans="1:13">
      <c r="A6" s="1">
        <v>2008</v>
      </c>
      <c r="B6" s="1" t="s">
        <v>15</v>
      </c>
      <c r="C6" s="1">
        <v>427</v>
      </c>
      <c r="D6" s="1">
        <v>167</v>
      </c>
      <c r="E6" s="2">
        <f>D6/C6</f>
        <v>0.3911007025761124</v>
      </c>
      <c r="F6" s="1">
        <v>4</v>
      </c>
      <c r="G6" s="1">
        <v>7</v>
      </c>
      <c r="H6" s="3">
        <f t="shared" si="0"/>
        <v>36.363636363636367</v>
      </c>
      <c r="I6" s="1">
        <v>30</v>
      </c>
      <c r="J6" s="1">
        <v>49</v>
      </c>
      <c r="K6" s="1">
        <v>58</v>
      </c>
      <c r="L6" s="1">
        <v>54</v>
      </c>
    </row>
    <row r="7" spans="1:13">
      <c r="A7" s="1">
        <v>2008</v>
      </c>
      <c r="B7" s="1" t="s">
        <v>16</v>
      </c>
      <c r="C7" s="4">
        <v>4275</v>
      </c>
      <c r="D7" s="4">
        <v>1690</v>
      </c>
      <c r="E7" s="2">
        <f>D7/C7</f>
        <v>0.39532163742690057</v>
      </c>
      <c r="F7" s="4">
        <v>97</v>
      </c>
      <c r="G7" s="4">
        <v>25</v>
      </c>
      <c r="H7" s="5">
        <v>79.5</v>
      </c>
      <c r="I7" s="4">
        <v>463</v>
      </c>
      <c r="J7" s="4">
        <v>519</v>
      </c>
      <c r="K7" s="4">
        <v>723</v>
      </c>
      <c r="L7" s="4">
        <v>595</v>
      </c>
      <c r="M7" s="4"/>
    </row>
    <row r="8" spans="1:13">
      <c r="A8" s="1">
        <v>2009</v>
      </c>
      <c r="B8" s="1" t="s">
        <v>15</v>
      </c>
      <c r="C8" s="1">
        <v>413</v>
      </c>
      <c r="D8" s="1">
        <v>170</v>
      </c>
      <c r="E8" s="2">
        <f>D8/C8</f>
        <v>0.41162227602905571</v>
      </c>
      <c r="F8" s="1">
        <v>3</v>
      </c>
      <c r="G8" s="1">
        <v>3</v>
      </c>
      <c r="H8" s="3">
        <f t="shared" si="0"/>
        <v>50</v>
      </c>
      <c r="I8" s="1">
        <v>39</v>
      </c>
      <c r="J8" s="1">
        <v>51</v>
      </c>
      <c r="K8" s="1">
        <v>71</v>
      </c>
      <c r="L8" s="1">
        <v>59</v>
      </c>
    </row>
    <row r="9" spans="1:13">
      <c r="A9" s="1">
        <v>2009</v>
      </c>
      <c r="B9" s="1" t="s">
        <v>16</v>
      </c>
      <c r="C9" s="4">
        <v>4620</v>
      </c>
      <c r="D9" s="4">
        <v>1970</v>
      </c>
      <c r="E9" s="2">
        <f>D9/C9</f>
        <v>0.4264069264069264</v>
      </c>
      <c r="F9" s="4">
        <v>69</v>
      </c>
      <c r="G9" s="4">
        <v>20</v>
      </c>
      <c r="H9" s="5">
        <v>77.5</v>
      </c>
      <c r="I9" s="4">
        <v>498</v>
      </c>
      <c r="J9" s="4">
        <v>569</v>
      </c>
      <c r="K9" s="4">
        <v>908</v>
      </c>
      <c r="L9" s="4">
        <v>805</v>
      </c>
      <c r="M9" s="4"/>
    </row>
    <row r="10" spans="1:13">
      <c r="A10" s="1">
        <v>2010</v>
      </c>
      <c r="B10" s="1" t="s">
        <v>15</v>
      </c>
      <c r="C10" s="1">
        <v>324</v>
      </c>
      <c r="D10" s="1">
        <v>112</v>
      </c>
      <c r="E10" s="2">
        <f>D10/C10</f>
        <v>0.34567901234567899</v>
      </c>
      <c r="F10" s="1">
        <v>6</v>
      </c>
      <c r="G10" s="1">
        <v>9</v>
      </c>
      <c r="H10" s="3">
        <f t="shared" si="0"/>
        <v>40</v>
      </c>
      <c r="I10" s="1">
        <v>38</v>
      </c>
      <c r="J10" s="1">
        <v>39</v>
      </c>
      <c r="K10" s="1">
        <v>64</v>
      </c>
      <c r="L10" s="1">
        <v>60</v>
      </c>
    </row>
    <row r="11" spans="1:13">
      <c r="A11" s="1">
        <v>2010</v>
      </c>
      <c r="B11" s="1" t="s">
        <v>16</v>
      </c>
      <c r="C11" s="4">
        <v>4321</v>
      </c>
      <c r="D11" s="4">
        <v>1551</v>
      </c>
      <c r="E11" s="2">
        <f>D11/C11</f>
        <v>0.35894468872946078</v>
      </c>
      <c r="F11" s="4">
        <v>121</v>
      </c>
      <c r="G11" s="4">
        <v>70</v>
      </c>
      <c r="H11" s="5">
        <v>63.4</v>
      </c>
      <c r="I11" s="4">
        <v>497</v>
      </c>
      <c r="J11" s="4">
        <v>551</v>
      </c>
      <c r="K11" s="4">
        <v>806</v>
      </c>
      <c r="L11" s="4">
        <v>763</v>
      </c>
    </row>
    <row r="12" spans="1:13">
      <c r="A12" s="1">
        <v>2011</v>
      </c>
      <c r="B12" s="1" t="s">
        <v>15</v>
      </c>
      <c r="C12" s="1">
        <v>373</v>
      </c>
      <c r="D12" s="1">
        <v>127</v>
      </c>
      <c r="E12" s="2">
        <f>D12/C12</f>
        <v>0.34048257372654156</v>
      </c>
      <c r="F12" s="1">
        <v>21</v>
      </c>
      <c r="G12" s="1">
        <v>7</v>
      </c>
      <c r="H12" s="3">
        <f t="shared" si="0"/>
        <v>75</v>
      </c>
      <c r="I12" s="1">
        <v>43</v>
      </c>
      <c r="J12" s="1">
        <v>47</v>
      </c>
      <c r="K12" s="1">
        <v>73</v>
      </c>
      <c r="L12" s="1">
        <v>58</v>
      </c>
    </row>
    <row r="13" spans="1:13">
      <c r="A13" s="1">
        <v>2011</v>
      </c>
      <c r="B13" s="1" t="s">
        <v>16</v>
      </c>
      <c r="C13" s="4">
        <v>4367</v>
      </c>
      <c r="D13" s="4">
        <v>1579</v>
      </c>
      <c r="E13" s="2">
        <f>D13/C13</f>
        <v>0.36157545225555299</v>
      </c>
      <c r="F13" s="4">
        <v>100</v>
      </c>
      <c r="G13" s="4">
        <v>76</v>
      </c>
      <c r="H13" s="5">
        <v>56.8</v>
      </c>
      <c r="I13" s="4">
        <v>488</v>
      </c>
      <c r="J13" s="4">
        <v>524</v>
      </c>
      <c r="K13" s="4">
        <v>938</v>
      </c>
      <c r="L13" s="4">
        <v>727</v>
      </c>
    </row>
    <row r="14" spans="1:13">
      <c r="A14" s="1">
        <v>2012</v>
      </c>
      <c r="B14" s="1" t="s">
        <v>15</v>
      </c>
      <c r="C14" s="1">
        <v>389</v>
      </c>
      <c r="D14" s="1">
        <v>132</v>
      </c>
      <c r="E14" s="2">
        <f>D14/C14</f>
        <v>0.33933161953727509</v>
      </c>
      <c r="F14" s="1">
        <v>6</v>
      </c>
      <c r="G14" s="1">
        <v>5</v>
      </c>
      <c r="H14" s="3">
        <f t="shared" si="0"/>
        <v>54.54545454545454</v>
      </c>
      <c r="I14" s="1">
        <v>32</v>
      </c>
      <c r="J14" s="1">
        <v>34</v>
      </c>
      <c r="K14" s="1">
        <v>74</v>
      </c>
      <c r="L14" s="1">
        <v>40</v>
      </c>
    </row>
    <row r="15" spans="1:13">
      <c r="A15" s="1">
        <v>2012</v>
      </c>
      <c r="B15" s="1" t="s">
        <v>16</v>
      </c>
      <c r="C15" s="4">
        <v>4331</v>
      </c>
      <c r="D15" s="4">
        <v>1522</v>
      </c>
      <c r="E15" s="2">
        <f>D15/C15</f>
        <v>0.35141999538212881</v>
      </c>
      <c r="F15" s="4">
        <v>107</v>
      </c>
      <c r="G15" s="4">
        <v>53</v>
      </c>
      <c r="H15" s="5">
        <v>66.900000000000006</v>
      </c>
      <c r="I15" s="4">
        <v>538</v>
      </c>
      <c r="J15" s="4">
        <v>488</v>
      </c>
      <c r="K15" s="4">
        <v>936</v>
      </c>
      <c r="L15" s="4">
        <v>647</v>
      </c>
    </row>
    <row r="16" spans="1:13">
      <c r="A16" s="1">
        <v>2013</v>
      </c>
      <c r="B16" s="1" t="s">
        <v>15</v>
      </c>
      <c r="C16" s="1">
        <v>387</v>
      </c>
      <c r="D16" s="1">
        <v>127</v>
      </c>
      <c r="E16" s="2">
        <f>D16/C16</f>
        <v>0.32816537467700257</v>
      </c>
      <c r="F16" s="1">
        <v>8</v>
      </c>
      <c r="G16" s="1">
        <v>5</v>
      </c>
      <c r="H16" s="3">
        <f t="shared" si="0"/>
        <v>61.53846153846154</v>
      </c>
      <c r="I16" s="1">
        <v>48</v>
      </c>
      <c r="J16" s="1">
        <v>50</v>
      </c>
      <c r="K16" s="1">
        <v>72</v>
      </c>
      <c r="L16" s="1">
        <v>61</v>
      </c>
    </row>
    <row r="17" spans="1:15">
      <c r="A17" s="1">
        <v>2013</v>
      </c>
      <c r="B17" s="1" t="s">
        <v>16</v>
      </c>
      <c r="C17" s="4">
        <v>4271</v>
      </c>
      <c r="D17" s="4">
        <v>1485</v>
      </c>
      <c r="E17" s="2">
        <f>D17/C17</f>
        <v>0.34769374853664248</v>
      </c>
      <c r="F17" s="4">
        <v>70</v>
      </c>
      <c r="G17" s="4">
        <v>49</v>
      </c>
      <c r="H17" s="5">
        <v>58.8</v>
      </c>
      <c r="I17" s="4">
        <v>479</v>
      </c>
      <c r="J17" s="4">
        <v>532</v>
      </c>
      <c r="K17" s="4">
        <v>822</v>
      </c>
      <c r="L17" s="4">
        <v>711</v>
      </c>
    </row>
    <row r="18" spans="1:15">
      <c r="A18" s="1">
        <v>2014</v>
      </c>
      <c r="B18" s="1" t="s">
        <v>15</v>
      </c>
      <c r="C18" s="1">
        <v>400</v>
      </c>
      <c r="D18" s="1">
        <v>153</v>
      </c>
      <c r="E18" s="2">
        <f>D18/C18</f>
        <v>0.38250000000000001</v>
      </c>
      <c r="F18" s="1">
        <v>4</v>
      </c>
      <c r="G18" s="1">
        <v>4</v>
      </c>
      <c r="H18" s="3">
        <f t="shared" si="0"/>
        <v>50</v>
      </c>
      <c r="I18" s="1">
        <v>52</v>
      </c>
      <c r="J18" s="1">
        <v>49</v>
      </c>
      <c r="K18" s="1">
        <v>72</v>
      </c>
      <c r="L18" s="1">
        <v>56</v>
      </c>
    </row>
    <row r="19" spans="1:15">
      <c r="A19" s="1">
        <v>2014</v>
      </c>
      <c r="B19" s="1" t="s">
        <v>16</v>
      </c>
      <c r="C19" s="4">
        <v>4417</v>
      </c>
      <c r="D19" s="4">
        <v>1834</v>
      </c>
      <c r="E19" s="2">
        <f>D19/C19</f>
        <v>0.41521394611727419</v>
      </c>
      <c r="F19" s="4">
        <v>70</v>
      </c>
      <c r="G19" s="4">
        <v>41</v>
      </c>
      <c r="H19" s="5">
        <v>63.1</v>
      </c>
      <c r="I19" s="4">
        <v>490</v>
      </c>
      <c r="J19" s="4">
        <v>537</v>
      </c>
      <c r="K19" s="4">
        <v>748</v>
      </c>
      <c r="L19" s="4">
        <v>889</v>
      </c>
    </row>
    <row r="20" spans="1:15">
      <c r="A20" s="1">
        <v>2015</v>
      </c>
      <c r="B20" s="1" t="s">
        <v>15</v>
      </c>
      <c r="C20" s="11">
        <v>386</v>
      </c>
      <c r="D20" s="11">
        <v>110</v>
      </c>
      <c r="E20" s="2">
        <f>D20/C20</f>
        <v>0.28497409326424872</v>
      </c>
      <c r="F20" s="1">
        <v>9</v>
      </c>
      <c r="G20" s="1">
        <v>5</v>
      </c>
      <c r="H20" s="3">
        <f t="shared" si="0"/>
        <v>64.285714285714292</v>
      </c>
      <c r="I20" s="12">
        <v>48</v>
      </c>
      <c r="J20" s="12">
        <v>36</v>
      </c>
      <c r="K20" s="12">
        <v>77</v>
      </c>
      <c r="L20" s="12">
        <v>65</v>
      </c>
      <c r="M20" s="12"/>
      <c r="N20" s="12"/>
    </row>
    <row r="21" spans="1:15">
      <c r="A21" s="1">
        <v>2015</v>
      </c>
      <c r="B21" s="1" t="s">
        <v>16</v>
      </c>
      <c r="C21" s="4">
        <v>4852</v>
      </c>
      <c r="D21" s="4">
        <v>1962</v>
      </c>
      <c r="E21" s="2">
        <f>D21/C21</f>
        <v>0.40436933223413024</v>
      </c>
      <c r="F21" s="4">
        <v>80</v>
      </c>
      <c r="G21" s="4">
        <v>47</v>
      </c>
      <c r="H21" s="5">
        <v>63</v>
      </c>
      <c r="I21" s="4">
        <v>581</v>
      </c>
      <c r="J21" s="4">
        <v>648</v>
      </c>
      <c r="K21" s="4">
        <v>920</v>
      </c>
      <c r="L21" s="4">
        <v>800</v>
      </c>
      <c r="M21" s="4"/>
      <c r="N21" s="4"/>
      <c r="O21" s="4"/>
    </row>
    <row r="22" spans="1:15">
      <c r="A22" s="1">
        <v>2016</v>
      </c>
      <c r="B22" s="1" t="s">
        <v>15</v>
      </c>
      <c r="C22" s="4">
        <v>528</v>
      </c>
      <c r="D22" s="4">
        <v>210</v>
      </c>
      <c r="E22" s="2">
        <f>D22/C22</f>
        <v>0.39772727272727271</v>
      </c>
      <c r="F22" s="1">
        <v>14</v>
      </c>
      <c r="G22" s="1">
        <v>5</v>
      </c>
      <c r="H22" s="3">
        <f t="shared" si="0"/>
        <v>73.68421052631578</v>
      </c>
      <c r="I22" s="4">
        <v>54</v>
      </c>
      <c r="J22" s="4">
        <v>77</v>
      </c>
      <c r="K22" s="4">
        <v>93</v>
      </c>
      <c r="L22" s="4">
        <v>86</v>
      </c>
      <c r="M22" s="4"/>
      <c r="N22" s="4"/>
      <c r="O22" s="4"/>
    </row>
    <row r="23" spans="1:15">
      <c r="A23" s="1">
        <v>2016</v>
      </c>
      <c r="B23" s="1" t="s">
        <v>16</v>
      </c>
      <c r="C23" s="4">
        <v>5109</v>
      </c>
      <c r="D23" s="4">
        <v>2200</v>
      </c>
      <c r="E23" s="2">
        <f>D23/C23</f>
        <v>0.43061264435310237</v>
      </c>
      <c r="F23" s="4">
        <v>64</v>
      </c>
      <c r="G23" s="4">
        <v>38</v>
      </c>
      <c r="H23" s="5">
        <v>62.7</v>
      </c>
      <c r="I23" s="4">
        <v>510</v>
      </c>
      <c r="J23" s="4">
        <v>634</v>
      </c>
      <c r="K23" s="4">
        <v>976</v>
      </c>
      <c r="L23" s="4">
        <v>908</v>
      </c>
      <c r="M23" s="4"/>
      <c r="N23" s="4"/>
      <c r="O23" s="4"/>
    </row>
    <row r="24" spans="1:15">
      <c r="A24" s="1">
        <v>2017</v>
      </c>
      <c r="B24" s="1" t="s">
        <v>15</v>
      </c>
      <c r="C24" s="4">
        <v>400</v>
      </c>
      <c r="D24" s="4">
        <v>154</v>
      </c>
      <c r="E24" s="2">
        <f>D24/C24</f>
        <v>0.38500000000000001</v>
      </c>
      <c r="F24" s="1">
        <v>12</v>
      </c>
      <c r="G24" s="1">
        <v>8</v>
      </c>
      <c r="H24" s="3">
        <f t="shared" si="0"/>
        <v>60</v>
      </c>
      <c r="I24" s="4">
        <v>36</v>
      </c>
      <c r="J24" s="4">
        <v>30</v>
      </c>
      <c r="K24" s="4">
        <v>88</v>
      </c>
      <c r="L24" s="4">
        <v>65</v>
      </c>
      <c r="M24" s="4"/>
      <c r="N24" s="4"/>
      <c r="O24" s="4"/>
    </row>
    <row r="25" spans="1:15">
      <c r="A25" s="1">
        <v>2017</v>
      </c>
      <c r="B25" s="1" t="s">
        <v>16</v>
      </c>
      <c r="C25" s="4">
        <v>5030</v>
      </c>
      <c r="D25" s="4">
        <v>2188</v>
      </c>
      <c r="E25" s="2">
        <f>D25/C25</f>
        <v>0.4349900596421471</v>
      </c>
      <c r="F25" s="4">
        <v>64</v>
      </c>
      <c r="G25" s="4">
        <v>44</v>
      </c>
      <c r="H25" s="5">
        <v>59.3</v>
      </c>
      <c r="I25" s="4">
        <v>416</v>
      </c>
      <c r="J25" s="4">
        <v>446</v>
      </c>
      <c r="K25" s="4">
        <v>914</v>
      </c>
      <c r="L25" s="4">
        <v>820</v>
      </c>
      <c r="M25" s="4"/>
      <c r="N25" s="4"/>
      <c r="O25" s="4"/>
    </row>
    <row r="26" spans="1:15">
      <c r="A26" s="1">
        <v>2018</v>
      </c>
      <c r="B26" s="1" t="s">
        <v>15</v>
      </c>
      <c r="C26" s="4">
        <v>195</v>
      </c>
      <c r="D26" s="4">
        <v>83</v>
      </c>
      <c r="E26" s="2">
        <f>D26/C26</f>
        <v>0.42564102564102563</v>
      </c>
      <c r="F26" s="1">
        <v>5</v>
      </c>
      <c r="G26" s="1">
        <v>3</v>
      </c>
      <c r="H26" s="3">
        <f t="shared" si="0"/>
        <v>62.5</v>
      </c>
      <c r="I26" s="4">
        <v>19</v>
      </c>
      <c r="J26" s="4">
        <v>14</v>
      </c>
      <c r="K26" s="4">
        <v>42</v>
      </c>
      <c r="L26" s="4">
        <v>34</v>
      </c>
      <c r="M26" s="4"/>
      <c r="N26" s="4"/>
      <c r="O26" s="4"/>
    </row>
    <row r="27" spans="1:15">
      <c r="A27" s="1">
        <v>2018</v>
      </c>
      <c r="B27" s="1" t="s">
        <v>16</v>
      </c>
      <c r="C27" s="4">
        <v>4972</v>
      </c>
      <c r="D27" s="4">
        <v>2099</v>
      </c>
      <c r="E27" s="2">
        <f>D27/C27</f>
        <v>0.42216411906677392</v>
      </c>
      <c r="F27" s="4">
        <v>118</v>
      </c>
      <c r="G27" s="4">
        <v>64</v>
      </c>
      <c r="H27" s="5">
        <v>64.8</v>
      </c>
      <c r="I27" s="4">
        <v>420</v>
      </c>
      <c r="J27" s="4">
        <v>472</v>
      </c>
      <c r="K27" s="4">
        <v>1124</v>
      </c>
      <c r="L27" s="4">
        <v>761</v>
      </c>
      <c r="M27" s="4"/>
      <c r="N27" s="4"/>
      <c r="O27" s="4"/>
    </row>
    <row r="28" spans="1:15">
      <c r="A28" s="1">
        <v>2019</v>
      </c>
      <c r="B28" s="1" t="s">
        <v>15</v>
      </c>
      <c r="C28" s="4">
        <v>264</v>
      </c>
      <c r="D28" s="4">
        <v>107</v>
      </c>
      <c r="E28" s="2">
        <f>D28/C28</f>
        <v>0.40530303030303028</v>
      </c>
      <c r="F28" s="1">
        <v>8</v>
      </c>
      <c r="G28" s="1">
        <v>2</v>
      </c>
      <c r="H28" s="3">
        <f t="shared" si="0"/>
        <v>80</v>
      </c>
      <c r="I28" s="4">
        <v>34</v>
      </c>
      <c r="J28" s="4">
        <v>22</v>
      </c>
      <c r="K28" s="4">
        <v>57</v>
      </c>
      <c r="L28" s="4">
        <v>29</v>
      </c>
      <c r="M28" s="4"/>
      <c r="N28" s="4"/>
      <c r="O28" s="4"/>
    </row>
    <row r="29" spans="1:15">
      <c r="A29" s="1">
        <v>2019</v>
      </c>
      <c r="B29" s="1" t="s">
        <v>16</v>
      </c>
      <c r="C29" s="4">
        <v>4882</v>
      </c>
      <c r="D29" s="4">
        <v>1769</v>
      </c>
      <c r="E29" s="2">
        <f>D29/C29</f>
        <v>0.36235149528881605</v>
      </c>
      <c r="F29" s="4">
        <v>105</v>
      </c>
      <c r="G29" s="4">
        <v>51</v>
      </c>
      <c r="H29" s="5">
        <v>67.3</v>
      </c>
      <c r="I29" s="4">
        <v>441</v>
      </c>
      <c r="J29" s="4">
        <v>526</v>
      </c>
      <c r="K29" s="4">
        <v>934</v>
      </c>
      <c r="L29" s="4">
        <v>737</v>
      </c>
    </row>
    <row r="30" spans="1:15">
      <c r="A30" s="1">
        <v>2020</v>
      </c>
      <c r="B30" s="1" t="s">
        <v>16</v>
      </c>
      <c r="C30" s="4">
        <v>4862</v>
      </c>
      <c r="D30" s="4">
        <v>1645</v>
      </c>
      <c r="E30" s="2">
        <f>D30/C30</f>
        <v>0.33833813245577954</v>
      </c>
      <c r="F30" s="4">
        <v>51</v>
      </c>
      <c r="G30" s="4">
        <v>36</v>
      </c>
      <c r="H30" s="5">
        <v>58.6</v>
      </c>
      <c r="I30" s="4">
        <v>462</v>
      </c>
      <c r="J30" s="4">
        <v>609</v>
      </c>
      <c r="K30" s="4">
        <v>1019</v>
      </c>
      <c r="L30" s="4">
        <v>820</v>
      </c>
    </row>
    <row r="31" spans="1:15">
      <c r="A31" s="1">
        <v>2021</v>
      </c>
      <c r="B31" s="1" t="s">
        <v>15</v>
      </c>
      <c r="C31" s="4">
        <v>228</v>
      </c>
      <c r="D31" s="4">
        <v>85</v>
      </c>
      <c r="E31" s="2">
        <f>D31/C31</f>
        <v>0.37280701754385964</v>
      </c>
      <c r="F31" s="1">
        <v>5</v>
      </c>
      <c r="G31" s="1">
        <v>4</v>
      </c>
      <c r="H31" s="3">
        <f t="shared" si="0"/>
        <v>55.555555555555557</v>
      </c>
      <c r="I31" s="4">
        <v>35</v>
      </c>
      <c r="J31" s="4">
        <v>32</v>
      </c>
      <c r="K31" s="4">
        <v>49</v>
      </c>
      <c r="L31" s="4">
        <v>29</v>
      </c>
    </row>
    <row r="32" spans="1:15">
      <c r="A32" s="1">
        <v>2021</v>
      </c>
      <c r="B32" s="1" t="s">
        <v>16</v>
      </c>
      <c r="C32" s="4">
        <v>4685</v>
      </c>
      <c r="D32" s="4">
        <v>1598</v>
      </c>
      <c r="E32" s="2">
        <f>D32/C32</f>
        <v>0.34108858057630737</v>
      </c>
      <c r="F32" s="4">
        <v>109</v>
      </c>
      <c r="G32" s="4">
        <v>56</v>
      </c>
      <c r="H32" s="5">
        <v>66.099999999999994</v>
      </c>
      <c r="I32" s="4">
        <v>633</v>
      </c>
      <c r="J32" s="4">
        <v>673</v>
      </c>
      <c r="K32" s="4">
        <v>1011</v>
      </c>
      <c r="L32" s="4">
        <v>739</v>
      </c>
    </row>
    <row r="33" spans="1:12">
      <c r="A33" s="1">
        <v>2022</v>
      </c>
      <c r="B33" s="1" t="s">
        <v>15</v>
      </c>
      <c r="C33" s="4">
        <v>488</v>
      </c>
      <c r="D33" s="4">
        <v>184</v>
      </c>
      <c r="E33" s="2">
        <f>D33/C33</f>
        <v>0.37704918032786883</v>
      </c>
      <c r="F33" s="1">
        <v>12</v>
      </c>
      <c r="G33" s="1">
        <v>7</v>
      </c>
      <c r="H33" s="3">
        <f t="shared" si="0"/>
        <v>63.157894736842103</v>
      </c>
      <c r="I33" s="4">
        <v>53</v>
      </c>
      <c r="J33" s="4">
        <v>45</v>
      </c>
      <c r="K33" s="4">
        <v>92</v>
      </c>
      <c r="L33" s="4">
        <v>89</v>
      </c>
    </row>
    <row r="34" spans="1:12">
      <c r="A34" s="1">
        <v>2022</v>
      </c>
      <c r="B34" s="1" t="s">
        <v>16</v>
      </c>
      <c r="C34" s="4">
        <v>4878</v>
      </c>
      <c r="D34" s="4">
        <v>1715</v>
      </c>
      <c r="E34" s="2">
        <f>D34/C34</f>
        <v>0.35157851578515786</v>
      </c>
      <c r="F34" s="4">
        <v>93</v>
      </c>
      <c r="G34" s="4">
        <v>49</v>
      </c>
      <c r="H34" s="5">
        <v>65.5</v>
      </c>
      <c r="I34" s="4">
        <v>497</v>
      </c>
      <c r="J34" s="4">
        <v>602</v>
      </c>
      <c r="K34" s="4">
        <v>974</v>
      </c>
      <c r="L34" s="4">
        <v>759</v>
      </c>
    </row>
    <row r="35" spans="1:12">
      <c r="A35" s="1">
        <v>2023</v>
      </c>
      <c r="B35" s="1" t="s">
        <v>15</v>
      </c>
      <c r="C35" s="4">
        <v>436</v>
      </c>
      <c r="D35" s="4">
        <v>173</v>
      </c>
      <c r="E35" s="2">
        <f>D35/C35</f>
        <v>0.39678899082568808</v>
      </c>
      <c r="F35" s="1">
        <v>8</v>
      </c>
      <c r="G35" s="1">
        <v>1</v>
      </c>
      <c r="H35" s="3">
        <f t="shared" si="0"/>
        <v>88.888888888888886</v>
      </c>
      <c r="I35" s="4">
        <v>67</v>
      </c>
      <c r="J35" s="4">
        <v>42</v>
      </c>
      <c r="K35" s="4">
        <v>97</v>
      </c>
      <c r="L35" s="4">
        <v>51</v>
      </c>
    </row>
    <row r="36" spans="1:12">
      <c r="A36" s="1">
        <v>2023</v>
      </c>
      <c r="B36" s="1" t="s">
        <v>16</v>
      </c>
      <c r="C36" s="4">
        <v>4906</v>
      </c>
      <c r="D36" s="4">
        <v>1719</v>
      </c>
      <c r="E36" s="2">
        <f>D36/C36</f>
        <v>0.35038728088055443</v>
      </c>
      <c r="F36" s="4">
        <v>67</v>
      </c>
      <c r="G36" s="4">
        <v>22</v>
      </c>
      <c r="H36" s="5">
        <v>75.3</v>
      </c>
      <c r="I36" s="4">
        <v>535</v>
      </c>
      <c r="J36" s="4">
        <v>518</v>
      </c>
      <c r="K36" s="4">
        <v>1037</v>
      </c>
      <c r="L36" s="4">
        <v>708</v>
      </c>
    </row>
    <row r="37" spans="1:12">
      <c r="A37" s="1">
        <v>2024</v>
      </c>
      <c r="B37" s="1" t="s">
        <v>15</v>
      </c>
      <c r="C37" s="4">
        <v>333</v>
      </c>
      <c r="D37" s="4">
        <v>140</v>
      </c>
      <c r="E37" s="2">
        <f>D37/C37</f>
        <v>0.42042042042042044</v>
      </c>
      <c r="F37" s="1">
        <v>4</v>
      </c>
      <c r="G37" s="1">
        <v>2</v>
      </c>
      <c r="H37" s="3">
        <f t="shared" si="0"/>
        <v>66.666666666666657</v>
      </c>
      <c r="I37" s="4">
        <v>38</v>
      </c>
      <c r="J37" s="4">
        <v>29</v>
      </c>
      <c r="K37" s="4">
        <v>77</v>
      </c>
      <c r="L37" s="4">
        <v>40</v>
      </c>
    </row>
    <row r="38" spans="1:12">
      <c r="A38" s="1">
        <v>2024</v>
      </c>
      <c r="B38" s="1" t="s">
        <v>16</v>
      </c>
      <c r="C38" s="4">
        <v>5005</v>
      </c>
      <c r="D38" s="4">
        <v>1992</v>
      </c>
      <c r="E38" s="2">
        <f>D38/C38</f>
        <v>0.39800199800199798</v>
      </c>
      <c r="F38" s="4">
        <v>69</v>
      </c>
      <c r="G38" s="4">
        <v>41</v>
      </c>
      <c r="H38" s="5">
        <v>62.7</v>
      </c>
      <c r="I38" s="4">
        <v>530</v>
      </c>
      <c r="J38" s="4">
        <v>511</v>
      </c>
      <c r="K38" s="4">
        <v>1130</v>
      </c>
      <c r="L38" s="4">
        <v>780</v>
      </c>
    </row>
    <row r="39" spans="1:12">
      <c r="A39" s="1">
        <v>2025</v>
      </c>
      <c r="B39" s="1" t="s">
        <v>15</v>
      </c>
      <c r="C39" s="4">
        <v>253</v>
      </c>
      <c r="D39" s="4">
        <v>112</v>
      </c>
      <c r="E39" s="2">
        <f>D39/C39</f>
        <v>0.44268774703557312</v>
      </c>
      <c r="F39" s="1">
        <v>7</v>
      </c>
      <c r="G39" s="1">
        <v>1</v>
      </c>
      <c r="H39" s="3">
        <f t="shared" si="0"/>
        <v>87.5</v>
      </c>
      <c r="I39" s="4">
        <v>25</v>
      </c>
      <c r="J39" s="4">
        <v>19</v>
      </c>
      <c r="K39" s="4">
        <v>62</v>
      </c>
      <c r="L39" s="4">
        <v>18</v>
      </c>
    </row>
    <row r="40" spans="1:12">
      <c r="A40" s="1">
        <v>2025</v>
      </c>
      <c r="B40" s="1" t="s">
        <v>16</v>
      </c>
      <c r="C40" s="4">
        <v>4892</v>
      </c>
      <c r="D40" s="4">
        <v>1933</v>
      </c>
      <c r="E40" s="2">
        <f>D40/C40</f>
        <v>0.39513491414554375</v>
      </c>
      <c r="F40" s="4">
        <v>101</v>
      </c>
      <c r="G40" s="4">
        <v>38</v>
      </c>
      <c r="H40" s="5">
        <v>72.7</v>
      </c>
      <c r="I40" s="1" t="s">
        <v>9</v>
      </c>
      <c r="J40" s="4">
        <v>450</v>
      </c>
      <c r="K40" s="4">
        <v>1339</v>
      </c>
      <c r="L40" s="4">
        <v>554</v>
      </c>
    </row>
  </sheetData>
  <autoFilter ref="A1:L40" xr:uid="{7087A263-0776-C24D-8569-CDC3645D8C69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38DE-348A-2B41-9E25-9AECF62EF83B}">
  <dimension ref="A1:I79"/>
  <sheetViews>
    <sheetView tabSelected="1" workbookViewId="0">
      <selection activeCell="E37" sqref="E37"/>
    </sheetView>
  </sheetViews>
  <sheetFormatPr baseColWidth="10" defaultRowHeight="18"/>
  <cols>
    <col min="1" max="1" width="9.42578125" customWidth="1"/>
    <col min="2" max="2" width="7.7109375" bestFit="1" customWidth="1"/>
    <col min="3" max="3" width="9.42578125" bestFit="1" customWidth="1"/>
    <col min="4" max="4" width="14.7109375" bestFit="1" customWidth="1"/>
    <col min="5" max="5" width="19.7109375" bestFit="1" customWidth="1"/>
    <col min="6" max="6" width="24.42578125" bestFit="1" customWidth="1"/>
    <col min="7" max="7" width="24.7109375" bestFit="1" customWidth="1"/>
    <col min="8" max="8" width="26.28515625" bestFit="1" customWidth="1"/>
    <col min="9" max="9" width="12.28515625" bestFit="1" customWidth="1"/>
  </cols>
  <sheetData>
    <row r="1" spans="1:9">
      <c r="A1" s="1" t="s">
        <v>8</v>
      </c>
      <c r="B1" s="1" t="s">
        <v>17</v>
      </c>
      <c r="C1" s="1" t="s">
        <v>38</v>
      </c>
      <c r="D1" s="6" t="s">
        <v>4</v>
      </c>
      <c r="E1" s="7" t="s">
        <v>3</v>
      </c>
      <c r="F1" s="8" t="s">
        <v>12</v>
      </c>
      <c r="G1" s="10" t="s">
        <v>13</v>
      </c>
      <c r="H1" s="10" t="s">
        <v>14</v>
      </c>
      <c r="I1" s="9" t="s">
        <v>2</v>
      </c>
    </row>
    <row r="2" spans="1:9">
      <c r="A2" s="1" t="s">
        <v>18</v>
      </c>
      <c r="B2" s="1">
        <v>1</v>
      </c>
      <c r="C2" s="1">
        <v>0</v>
      </c>
      <c r="D2" s="2">
        <v>0.44414893617021278</v>
      </c>
      <c r="E2" s="3">
        <v>80</v>
      </c>
      <c r="F2" s="1">
        <v>33</v>
      </c>
      <c r="G2" s="1">
        <v>40</v>
      </c>
      <c r="H2" s="1">
        <v>65</v>
      </c>
      <c r="I2" s="1">
        <v>34</v>
      </c>
    </row>
    <row r="3" spans="1:9">
      <c r="A3" s="1" t="s">
        <v>18</v>
      </c>
      <c r="B3" s="1">
        <v>2</v>
      </c>
      <c r="C3" s="1">
        <v>0</v>
      </c>
      <c r="D3" s="2">
        <v>0.35265700483091789</v>
      </c>
      <c r="E3" s="3">
        <v>62.5</v>
      </c>
      <c r="F3" s="1">
        <v>37</v>
      </c>
      <c r="G3" s="1">
        <v>40</v>
      </c>
      <c r="H3" s="1">
        <v>51</v>
      </c>
      <c r="I3" s="1">
        <v>63</v>
      </c>
    </row>
    <row r="4" spans="1:9">
      <c r="A4" s="1" t="s">
        <v>18</v>
      </c>
      <c r="B4" s="1">
        <v>1</v>
      </c>
      <c r="C4" s="1">
        <v>1</v>
      </c>
      <c r="D4" s="2">
        <v>0.35404315864358549</v>
      </c>
      <c r="E4" s="5">
        <v>71.8</v>
      </c>
      <c r="F4" s="4">
        <v>330</v>
      </c>
      <c r="G4" s="4">
        <v>439</v>
      </c>
      <c r="H4" s="4">
        <v>625</v>
      </c>
      <c r="I4" s="4">
        <v>574</v>
      </c>
    </row>
    <row r="5" spans="1:9">
      <c r="A5" s="1" t="s">
        <v>18</v>
      </c>
      <c r="B5" s="1">
        <v>2</v>
      </c>
      <c r="C5" s="1">
        <v>1</v>
      </c>
      <c r="D5" s="2">
        <v>0.37985611510791367</v>
      </c>
      <c r="E5" s="5">
        <v>60.2</v>
      </c>
      <c r="F5" s="4">
        <v>442</v>
      </c>
      <c r="G5" s="4">
        <v>373</v>
      </c>
      <c r="H5" s="4">
        <v>760</v>
      </c>
      <c r="I5" s="4">
        <v>475</v>
      </c>
    </row>
    <row r="6" spans="1:9">
      <c r="A6" s="1" t="s">
        <v>19</v>
      </c>
      <c r="B6" s="1">
        <v>1</v>
      </c>
      <c r="C6" s="1">
        <v>0</v>
      </c>
      <c r="D6" s="2">
        <v>0.3126760563380282</v>
      </c>
      <c r="E6" s="3">
        <v>69.230769230769226</v>
      </c>
      <c r="F6" s="4">
        <v>43</v>
      </c>
      <c r="G6" s="4">
        <v>26</v>
      </c>
      <c r="H6" s="4">
        <v>43</v>
      </c>
      <c r="I6" s="4">
        <v>51</v>
      </c>
    </row>
    <row r="7" spans="1:9">
      <c r="A7" s="1" t="s">
        <v>19</v>
      </c>
      <c r="B7" s="1">
        <v>2</v>
      </c>
      <c r="C7" s="1">
        <v>0</v>
      </c>
      <c r="D7" s="2">
        <v>0.37534246575342467</v>
      </c>
      <c r="E7" s="3">
        <v>50</v>
      </c>
      <c r="F7" s="1">
        <v>31</v>
      </c>
      <c r="G7" s="1">
        <v>41</v>
      </c>
      <c r="H7" s="1">
        <v>63</v>
      </c>
      <c r="I7" s="1">
        <v>34</v>
      </c>
    </row>
    <row r="8" spans="1:9">
      <c r="A8" s="1" t="s">
        <v>19</v>
      </c>
      <c r="B8" s="1">
        <v>1</v>
      </c>
      <c r="C8" s="1">
        <v>1</v>
      </c>
      <c r="D8" s="2">
        <v>0.37436372049976863</v>
      </c>
      <c r="E8" s="5">
        <v>73.900000000000006</v>
      </c>
      <c r="F8" s="4">
        <v>431</v>
      </c>
      <c r="G8" s="4">
        <v>514</v>
      </c>
      <c r="H8" s="4">
        <v>630</v>
      </c>
      <c r="I8" s="4">
        <v>600</v>
      </c>
    </row>
    <row r="9" spans="1:9">
      <c r="A9" s="1" t="s">
        <v>19</v>
      </c>
      <c r="B9" s="1">
        <v>2</v>
      </c>
      <c r="C9" s="1">
        <v>1</v>
      </c>
      <c r="D9" s="2">
        <v>0.37621124031007752</v>
      </c>
      <c r="E9" s="5">
        <v>69.599999999999994</v>
      </c>
      <c r="F9" s="4">
        <v>506</v>
      </c>
      <c r="G9" s="4">
        <v>451</v>
      </c>
      <c r="H9" s="4">
        <v>741</v>
      </c>
      <c r="I9" s="4">
        <v>481</v>
      </c>
    </row>
    <row r="10" spans="1:9">
      <c r="A10" s="1" t="s">
        <v>20</v>
      </c>
      <c r="B10" s="1">
        <v>1</v>
      </c>
      <c r="C10" s="1">
        <v>0</v>
      </c>
      <c r="D10" s="2">
        <v>0.29870129870129869</v>
      </c>
      <c r="E10" s="3">
        <v>72.222222222222214</v>
      </c>
      <c r="F10" s="1">
        <v>43</v>
      </c>
      <c r="G10" s="1">
        <v>35</v>
      </c>
      <c r="H10" s="1">
        <v>56</v>
      </c>
      <c r="I10" s="1">
        <v>44</v>
      </c>
    </row>
    <row r="11" spans="1:9">
      <c r="A11" s="1" t="s">
        <v>20</v>
      </c>
      <c r="B11" s="1">
        <v>2</v>
      </c>
      <c r="C11" s="1">
        <v>0</v>
      </c>
      <c r="D11" s="2">
        <v>0.3911007025761124</v>
      </c>
      <c r="E11" s="3">
        <v>36.363636363636367</v>
      </c>
      <c r="F11" s="1">
        <v>30</v>
      </c>
      <c r="G11" s="1">
        <v>49</v>
      </c>
      <c r="H11" s="1">
        <v>58</v>
      </c>
      <c r="I11" s="1">
        <v>54</v>
      </c>
    </row>
    <row r="12" spans="1:9">
      <c r="A12" s="1" t="s">
        <v>20</v>
      </c>
      <c r="B12" s="1">
        <v>1</v>
      </c>
      <c r="C12" s="1">
        <v>1</v>
      </c>
      <c r="D12" s="2">
        <v>0.3532504780114723</v>
      </c>
      <c r="E12" s="5">
        <v>71.2</v>
      </c>
      <c r="F12" s="4">
        <v>364</v>
      </c>
      <c r="G12" s="4">
        <v>480</v>
      </c>
      <c r="H12" s="4">
        <v>631</v>
      </c>
      <c r="I12" s="4">
        <v>646</v>
      </c>
    </row>
    <row r="13" spans="1:9">
      <c r="A13" s="1" t="s">
        <v>20</v>
      </c>
      <c r="B13" s="1">
        <v>2</v>
      </c>
      <c r="C13" s="1">
        <v>1</v>
      </c>
      <c r="D13" s="2">
        <v>0.39532163742690057</v>
      </c>
      <c r="E13" s="5">
        <v>79.5</v>
      </c>
      <c r="F13" s="4">
        <v>463</v>
      </c>
      <c r="G13" s="4">
        <v>519</v>
      </c>
      <c r="H13" s="4">
        <v>723</v>
      </c>
      <c r="I13" s="4">
        <v>595</v>
      </c>
    </row>
    <row r="14" spans="1:9">
      <c r="A14" s="1" t="s">
        <v>21</v>
      </c>
      <c r="B14" s="1">
        <v>1</v>
      </c>
      <c r="C14" s="1">
        <v>0</v>
      </c>
      <c r="D14" s="2">
        <v>0.34010152284263961</v>
      </c>
      <c r="E14" s="3">
        <v>80</v>
      </c>
      <c r="F14" s="1">
        <v>43</v>
      </c>
      <c r="G14" s="1">
        <v>37</v>
      </c>
      <c r="H14" s="1">
        <v>62</v>
      </c>
      <c r="I14" s="1">
        <v>61</v>
      </c>
    </row>
    <row r="15" spans="1:9">
      <c r="A15" s="1" t="s">
        <v>21</v>
      </c>
      <c r="B15" s="1">
        <v>2</v>
      </c>
      <c r="C15" s="1">
        <v>0</v>
      </c>
      <c r="D15" s="2">
        <v>0.41162227602905571</v>
      </c>
      <c r="E15" s="3">
        <v>50</v>
      </c>
      <c r="F15" s="1">
        <v>39</v>
      </c>
      <c r="G15" s="1">
        <v>51</v>
      </c>
      <c r="H15" s="1">
        <v>71</v>
      </c>
      <c r="I15" s="1">
        <v>59</v>
      </c>
    </row>
    <row r="16" spans="1:9">
      <c r="A16" s="1" t="s">
        <v>21</v>
      </c>
      <c r="B16" s="1">
        <v>1</v>
      </c>
      <c r="C16" s="1">
        <v>1</v>
      </c>
      <c r="D16" s="2">
        <v>0.41331853496115428</v>
      </c>
      <c r="E16" s="5">
        <v>75</v>
      </c>
      <c r="F16" s="4">
        <v>552</v>
      </c>
      <c r="G16" s="4">
        <v>585</v>
      </c>
      <c r="H16" s="4">
        <v>777</v>
      </c>
      <c r="I16" s="4">
        <v>763</v>
      </c>
    </row>
    <row r="17" spans="1:9">
      <c r="A17" s="1" t="s">
        <v>21</v>
      </c>
      <c r="B17" s="1">
        <v>2</v>
      </c>
      <c r="C17" s="1">
        <v>1</v>
      </c>
      <c r="D17" s="2">
        <v>0.4264069264069264</v>
      </c>
      <c r="E17" s="5">
        <v>77.5</v>
      </c>
      <c r="F17" s="4">
        <v>498</v>
      </c>
      <c r="G17" s="4">
        <v>569</v>
      </c>
      <c r="H17" s="4">
        <v>908</v>
      </c>
      <c r="I17" s="4">
        <v>805</v>
      </c>
    </row>
    <row r="18" spans="1:9">
      <c r="A18" s="1" t="s">
        <v>22</v>
      </c>
      <c r="B18" s="1">
        <v>1</v>
      </c>
      <c r="C18" s="1">
        <v>0</v>
      </c>
      <c r="D18" s="2">
        <v>0.31818181818181818</v>
      </c>
      <c r="E18" s="3">
        <v>81.481481481481481</v>
      </c>
      <c r="F18" s="1">
        <v>38</v>
      </c>
      <c r="G18" s="1">
        <v>38</v>
      </c>
      <c r="H18" s="1">
        <v>67</v>
      </c>
      <c r="I18" s="1">
        <v>64</v>
      </c>
    </row>
    <row r="19" spans="1:9">
      <c r="A19" s="1" t="s">
        <v>22</v>
      </c>
      <c r="B19" s="1">
        <v>2</v>
      </c>
      <c r="C19" s="1">
        <v>0</v>
      </c>
      <c r="D19" s="2">
        <v>0.34567901234567899</v>
      </c>
      <c r="E19" s="3">
        <v>40</v>
      </c>
      <c r="F19" s="1">
        <v>38</v>
      </c>
      <c r="G19" s="1">
        <v>39</v>
      </c>
      <c r="H19" s="1">
        <v>64</v>
      </c>
      <c r="I19" s="1">
        <v>60</v>
      </c>
    </row>
    <row r="20" spans="1:9">
      <c r="A20" s="1" t="s">
        <v>22</v>
      </c>
      <c r="B20" s="1">
        <v>1</v>
      </c>
      <c r="C20" s="1">
        <v>1</v>
      </c>
      <c r="D20" s="2">
        <v>0.41051259774109472</v>
      </c>
      <c r="E20" s="5">
        <v>75.099999999999994</v>
      </c>
      <c r="F20" s="4">
        <v>486</v>
      </c>
      <c r="G20" s="4">
        <v>560</v>
      </c>
      <c r="H20" s="4">
        <v>793</v>
      </c>
      <c r="I20" s="4">
        <v>746</v>
      </c>
    </row>
    <row r="21" spans="1:9">
      <c r="A21" s="1" t="s">
        <v>22</v>
      </c>
      <c r="B21" s="1">
        <v>2</v>
      </c>
      <c r="C21" s="1">
        <v>1</v>
      </c>
      <c r="D21" s="2">
        <v>0.35894468872946078</v>
      </c>
      <c r="E21" s="5">
        <v>63.4</v>
      </c>
      <c r="F21" s="4">
        <v>497</v>
      </c>
      <c r="G21" s="4">
        <v>551</v>
      </c>
      <c r="H21" s="4">
        <v>806</v>
      </c>
      <c r="I21" s="4">
        <v>763</v>
      </c>
    </row>
    <row r="22" spans="1:9">
      <c r="A22" s="1" t="s">
        <v>23</v>
      </c>
      <c r="B22" s="1">
        <v>1</v>
      </c>
      <c r="C22" s="1">
        <v>0</v>
      </c>
      <c r="D22" s="2">
        <v>0.38761467889908258</v>
      </c>
      <c r="E22" s="3">
        <v>85.294117647058826</v>
      </c>
      <c r="F22" s="1">
        <v>46</v>
      </c>
      <c r="G22" s="1">
        <v>41</v>
      </c>
      <c r="H22" s="1">
        <v>86</v>
      </c>
      <c r="I22" s="1">
        <v>49</v>
      </c>
    </row>
    <row r="23" spans="1:9">
      <c r="A23" s="1" t="s">
        <v>23</v>
      </c>
      <c r="B23" s="1">
        <v>2</v>
      </c>
      <c r="C23" s="1">
        <v>0</v>
      </c>
      <c r="D23" s="2">
        <v>0.34048257372654156</v>
      </c>
      <c r="E23" s="3">
        <v>75</v>
      </c>
      <c r="F23" s="1">
        <v>43</v>
      </c>
      <c r="G23" s="1">
        <v>47</v>
      </c>
      <c r="H23" s="1">
        <v>73</v>
      </c>
      <c r="I23" s="1">
        <v>58</v>
      </c>
    </row>
    <row r="24" spans="1:9">
      <c r="A24" s="1" t="s">
        <v>23</v>
      </c>
      <c r="B24" s="1">
        <v>1</v>
      </c>
      <c r="C24" s="1">
        <v>1</v>
      </c>
      <c r="D24" s="2">
        <v>0.37748783724015922</v>
      </c>
      <c r="E24" s="5">
        <v>69</v>
      </c>
      <c r="F24" s="4">
        <v>463</v>
      </c>
      <c r="G24" s="4">
        <v>512</v>
      </c>
      <c r="H24" s="4">
        <v>827</v>
      </c>
      <c r="I24" s="4">
        <v>620</v>
      </c>
    </row>
    <row r="25" spans="1:9">
      <c r="A25" s="1" t="s">
        <v>23</v>
      </c>
      <c r="B25" s="1">
        <v>2</v>
      </c>
      <c r="C25" s="1">
        <v>1</v>
      </c>
      <c r="D25" s="2">
        <v>0.36157545225555299</v>
      </c>
      <c r="E25" s="5">
        <v>56.8</v>
      </c>
      <c r="F25" s="4">
        <v>488</v>
      </c>
      <c r="G25" s="4">
        <v>524</v>
      </c>
      <c r="H25" s="4">
        <v>938</v>
      </c>
      <c r="I25" s="4">
        <v>727</v>
      </c>
    </row>
    <row r="26" spans="1:9">
      <c r="A26" s="1" t="s">
        <v>24</v>
      </c>
      <c r="B26" s="1">
        <v>1</v>
      </c>
      <c r="C26" s="1">
        <v>0</v>
      </c>
      <c r="D26" s="2">
        <v>0.33177570093457942</v>
      </c>
      <c r="E26" s="3">
        <v>53.846153846153847</v>
      </c>
      <c r="F26" s="1">
        <v>35</v>
      </c>
      <c r="G26" s="1">
        <v>36</v>
      </c>
      <c r="H26" s="1">
        <v>74</v>
      </c>
      <c r="I26" s="1">
        <v>59</v>
      </c>
    </row>
    <row r="27" spans="1:9">
      <c r="A27" s="1" t="s">
        <v>24</v>
      </c>
      <c r="B27" s="1">
        <v>2</v>
      </c>
      <c r="C27" s="1">
        <v>0</v>
      </c>
      <c r="D27" s="2">
        <v>0.33933161953727509</v>
      </c>
      <c r="E27" s="3">
        <v>54.54545454545454</v>
      </c>
      <c r="F27" s="1">
        <v>32</v>
      </c>
      <c r="G27" s="1">
        <v>34</v>
      </c>
      <c r="H27" s="1">
        <v>74</v>
      </c>
      <c r="I27" s="1">
        <v>40</v>
      </c>
    </row>
    <row r="28" spans="1:9">
      <c r="A28" s="1" t="s">
        <v>24</v>
      </c>
      <c r="B28" s="1">
        <v>1</v>
      </c>
      <c r="C28" s="1">
        <v>1</v>
      </c>
      <c r="D28" s="2">
        <v>0.35448336638025996</v>
      </c>
      <c r="E28" s="5">
        <v>71.099999999999994</v>
      </c>
      <c r="F28" s="4">
        <v>458</v>
      </c>
      <c r="G28" s="4">
        <v>422</v>
      </c>
      <c r="H28" s="4">
        <v>735</v>
      </c>
      <c r="I28" s="4">
        <v>580</v>
      </c>
    </row>
    <row r="29" spans="1:9">
      <c r="A29" s="1" t="s">
        <v>24</v>
      </c>
      <c r="B29" s="1">
        <v>2</v>
      </c>
      <c r="C29" s="1">
        <v>1</v>
      </c>
      <c r="D29" s="2">
        <v>0.35141999538212881</v>
      </c>
      <c r="E29" s="5">
        <v>66.900000000000006</v>
      </c>
      <c r="F29" s="4">
        <v>538</v>
      </c>
      <c r="G29" s="4">
        <v>488</v>
      </c>
      <c r="H29" s="4">
        <v>936</v>
      </c>
      <c r="I29" s="4">
        <v>647</v>
      </c>
    </row>
    <row r="30" spans="1:9">
      <c r="A30" s="1" t="s">
        <v>25</v>
      </c>
      <c r="B30" s="1">
        <v>1</v>
      </c>
      <c r="C30" s="1">
        <v>0</v>
      </c>
      <c r="D30" s="2">
        <v>0.29562982005141386</v>
      </c>
      <c r="E30" s="3">
        <v>75</v>
      </c>
      <c r="F30" s="1">
        <v>41</v>
      </c>
      <c r="G30" s="1">
        <v>28</v>
      </c>
      <c r="H30" s="1">
        <v>74</v>
      </c>
      <c r="I30" s="1">
        <v>56</v>
      </c>
    </row>
    <row r="31" spans="1:9">
      <c r="A31" s="1" t="s">
        <v>25</v>
      </c>
      <c r="B31" s="1">
        <v>2</v>
      </c>
      <c r="C31" s="1">
        <v>0</v>
      </c>
      <c r="D31" s="2">
        <v>0.32816537467700257</v>
      </c>
      <c r="E31" s="3">
        <v>61.53846153846154</v>
      </c>
      <c r="F31" s="1">
        <v>48</v>
      </c>
      <c r="G31" s="1">
        <v>50</v>
      </c>
      <c r="H31" s="1">
        <v>72</v>
      </c>
      <c r="I31" s="1">
        <v>61</v>
      </c>
    </row>
    <row r="32" spans="1:9">
      <c r="A32" s="1" t="s">
        <v>25</v>
      </c>
      <c r="B32" s="1">
        <v>1</v>
      </c>
      <c r="C32" s="1">
        <v>1</v>
      </c>
      <c r="D32" s="2">
        <v>0.34769374853664248</v>
      </c>
      <c r="E32" s="5">
        <v>66.2</v>
      </c>
      <c r="F32" s="4">
        <v>451</v>
      </c>
      <c r="G32" s="4">
        <v>406</v>
      </c>
      <c r="H32" s="4">
        <v>822</v>
      </c>
      <c r="I32" s="4">
        <v>510</v>
      </c>
    </row>
    <row r="33" spans="1:9">
      <c r="A33" s="1" t="s">
        <v>25</v>
      </c>
      <c r="B33" s="1">
        <v>2</v>
      </c>
      <c r="C33" s="1">
        <v>1</v>
      </c>
      <c r="D33" s="2">
        <v>0.34769374853664248</v>
      </c>
      <c r="E33" s="5">
        <v>58.8</v>
      </c>
      <c r="F33" s="4">
        <v>479</v>
      </c>
      <c r="G33" s="4">
        <v>532</v>
      </c>
      <c r="H33" s="4">
        <v>822</v>
      </c>
      <c r="I33" s="4">
        <v>711</v>
      </c>
    </row>
    <row r="34" spans="1:9">
      <c r="A34" s="1" t="s">
        <v>26</v>
      </c>
      <c r="B34" s="1">
        <v>1</v>
      </c>
      <c r="C34" s="1">
        <v>0</v>
      </c>
      <c r="D34" s="2">
        <v>0.41618497109826591</v>
      </c>
      <c r="E34" s="3">
        <v>100</v>
      </c>
      <c r="F34" s="1">
        <v>25</v>
      </c>
      <c r="G34" s="1">
        <v>30</v>
      </c>
      <c r="H34" s="1">
        <v>45</v>
      </c>
      <c r="I34" s="1">
        <v>43</v>
      </c>
    </row>
    <row r="35" spans="1:9">
      <c r="A35" s="1" t="s">
        <v>26</v>
      </c>
      <c r="B35" s="1">
        <v>2</v>
      </c>
      <c r="C35" s="1">
        <v>0</v>
      </c>
      <c r="D35" s="2">
        <v>0.38250000000000001</v>
      </c>
      <c r="E35" s="3">
        <v>50</v>
      </c>
      <c r="F35" s="1">
        <v>52</v>
      </c>
      <c r="G35" s="1">
        <v>49</v>
      </c>
      <c r="H35" s="1">
        <v>72</v>
      </c>
      <c r="I35" s="1">
        <v>56</v>
      </c>
    </row>
    <row r="36" spans="1:9">
      <c r="A36" s="1" t="s">
        <v>26</v>
      </c>
      <c r="B36" s="1">
        <v>1</v>
      </c>
      <c r="C36" s="1">
        <v>1</v>
      </c>
      <c r="D36" s="2">
        <v>0.41521394611727419</v>
      </c>
      <c r="E36" s="5">
        <v>62.1</v>
      </c>
      <c r="F36" s="4">
        <v>524</v>
      </c>
      <c r="G36" s="4">
        <v>419</v>
      </c>
      <c r="H36" s="4">
        <v>810</v>
      </c>
      <c r="I36" s="4">
        <v>643</v>
      </c>
    </row>
    <row r="37" spans="1:9">
      <c r="A37" s="1" t="s">
        <v>26</v>
      </c>
      <c r="B37" s="1">
        <v>2</v>
      </c>
      <c r="C37" s="1">
        <v>1</v>
      </c>
      <c r="D37" s="2">
        <v>0.41521394611727419</v>
      </c>
      <c r="E37" s="5">
        <v>63.1</v>
      </c>
      <c r="F37" s="4">
        <v>490</v>
      </c>
      <c r="G37" s="4">
        <v>537</v>
      </c>
      <c r="H37" s="4">
        <v>748</v>
      </c>
      <c r="I37" s="4">
        <v>889</v>
      </c>
    </row>
    <row r="38" spans="1:9">
      <c r="A38" s="1" t="s">
        <v>27</v>
      </c>
      <c r="B38" s="1">
        <v>1</v>
      </c>
      <c r="C38" s="1">
        <v>0</v>
      </c>
      <c r="D38" s="2">
        <v>0.4777227722772277</v>
      </c>
      <c r="E38" s="3">
        <v>52.380952380952387</v>
      </c>
      <c r="F38" s="1">
        <v>53</v>
      </c>
      <c r="G38" s="1">
        <v>35</v>
      </c>
      <c r="H38" s="1">
        <v>83</v>
      </c>
      <c r="I38" s="1">
        <v>50</v>
      </c>
    </row>
    <row r="39" spans="1:9">
      <c r="A39" s="1" t="s">
        <v>27</v>
      </c>
      <c r="B39" s="1">
        <v>2</v>
      </c>
      <c r="C39" s="1">
        <v>0</v>
      </c>
      <c r="D39" s="2">
        <v>0.28497409326424872</v>
      </c>
      <c r="E39" s="3">
        <v>64.285714285714292</v>
      </c>
      <c r="F39" s="12">
        <v>48</v>
      </c>
      <c r="G39" s="12">
        <v>36</v>
      </c>
      <c r="H39" s="12">
        <v>77</v>
      </c>
      <c r="I39" s="12">
        <v>65</v>
      </c>
    </row>
    <row r="40" spans="1:9">
      <c r="A40" s="1" t="s">
        <v>27</v>
      </c>
      <c r="B40" s="1">
        <v>1</v>
      </c>
      <c r="C40" s="1">
        <v>1</v>
      </c>
      <c r="D40" s="2">
        <v>0.3985023274640761</v>
      </c>
      <c r="E40" s="5">
        <v>64.599999999999994</v>
      </c>
      <c r="F40" s="4">
        <v>462</v>
      </c>
      <c r="G40" s="4">
        <v>490</v>
      </c>
      <c r="H40" s="4">
        <v>1063</v>
      </c>
      <c r="I40" s="4">
        <v>721</v>
      </c>
    </row>
    <row r="41" spans="1:9">
      <c r="A41" s="1" t="s">
        <v>27</v>
      </c>
      <c r="B41" s="1">
        <v>2</v>
      </c>
      <c r="C41" s="1">
        <v>1</v>
      </c>
      <c r="D41" s="2">
        <v>0.40436933223413024</v>
      </c>
      <c r="E41" s="5">
        <v>63</v>
      </c>
      <c r="F41" s="4">
        <v>581</v>
      </c>
      <c r="G41" s="4">
        <v>648</v>
      </c>
      <c r="H41" s="4">
        <v>920</v>
      </c>
      <c r="I41" s="4">
        <v>800</v>
      </c>
    </row>
    <row r="42" spans="1:9">
      <c r="A42" s="1" t="s">
        <v>28</v>
      </c>
      <c r="B42" s="1">
        <v>1</v>
      </c>
      <c r="C42" s="1">
        <v>0</v>
      </c>
      <c r="D42" s="2">
        <v>0.4017857142857143</v>
      </c>
      <c r="E42" s="3">
        <v>68.75</v>
      </c>
      <c r="F42" s="1">
        <v>59</v>
      </c>
      <c r="G42" s="1">
        <v>50</v>
      </c>
      <c r="H42" s="1">
        <v>89</v>
      </c>
      <c r="I42" s="1">
        <v>82</v>
      </c>
    </row>
    <row r="43" spans="1:9">
      <c r="A43" s="1" t="s">
        <v>28</v>
      </c>
      <c r="B43" s="1">
        <v>2</v>
      </c>
      <c r="C43" s="1">
        <v>0</v>
      </c>
      <c r="D43" s="2">
        <v>0.39772727272727271</v>
      </c>
      <c r="E43" s="3">
        <v>73.68421052631578</v>
      </c>
      <c r="F43" s="4">
        <v>54</v>
      </c>
      <c r="G43" s="4">
        <v>77</v>
      </c>
      <c r="H43" s="4">
        <v>93</v>
      </c>
      <c r="I43" s="4">
        <v>86</v>
      </c>
    </row>
    <row r="44" spans="1:9">
      <c r="A44" s="1" t="s">
        <v>28</v>
      </c>
      <c r="B44" s="1">
        <v>1</v>
      </c>
      <c r="C44" s="1">
        <v>1</v>
      </c>
      <c r="D44" s="2">
        <v>0.41734310037616312</v>
      </c>
      <c r="E44" s="5">
        <v>63.4</v>
      </c>
      <c r="F44" s="4">
        <v>523</v>
      </c>
      <c r="G44" s="4">
        <v>539</v>
      </c>
      <c r="H44" s="4">
        <v>909</v>
      </c>
      <c r="I44" s="4">
        <v>807</v>
      </c>
    </row>
    <row r="45" spans="1:9">
      <c r="A45" s="1" t="s">
        <v>28</v>
      </c>
      <c r="B45" s="1">
        <v>2</v>
      </c>
      <c r="C45" s="1">
        <v>1</v>
      </c>
      <c r="D45" s="2">
        <v>0.43061264435310237</v>
      </c>
      <c r="E45" s="5">
        <v>62.7</v>
      </c>
      <c r="F45" s="4">
        <v>510</v>
      </c>
      <c r="G45" s="4">
        <v>634</v>
      </c>
      <c r="H45" s="4">
        <v>976</v>
      </c>
      <c r="I45" s="4">
        <v>908</v>
      </c>
    </row>
    <row r="46" spans="1:9">
      <c r="A46" s="1" t="s">
        <v>29</v>
      </c>
      <c r="B46" s="1">
        <v>1</v>
      </c>
      <c r="C46" s="1">
        <v>0</v>
      </c>
      <c r="D46" s="2">
        <v>0.43309002433090027</v>
      </c>
      <c r="E46" s="3">
        <v>41.17647058823529</v>
      </c>
      <c r="F46" s="1">
        <v>32</v>
      </c>
      <c r="G46" s="1">
        <v>33</v>
      </c>
      <c r="H46" s="1">
        <v>88</v>
      </c>
      <c r="I46" s="1">
        <v>54</v>
      </c>
    </row>
    <row r="47" spans="1:9">
      <c r="A47" s="1" t="s">
        <v>29</v>
      </c>
      <c r="B47" s="1">
        <v>2</v>
      </c>
      <c r="C47" s="1">
        <v>0</v>
      </c>
      <c r="D47" s="2">
        <v>0.38500000000000001</v>
      </c>
      <c r="E47" s="3">
        <v>60</v>
      </c>
      <c r="F47" s="4">
        <v>36</v>
      </c>
      <c r="G47" s="4">
        <v>30</v>
      </c>
      <c r="H47" s="4">
        <v>88</v>
      </c>
      <c r="I47" s="4">
        <v>65</v>
      </c>
    </row>
    <row r="48" spans="1:9">
      <c r="A48" s="1" t="s">
        <v>29</v>
      </c>
      <c r="B48" s="1">
        <v>1</v>
      </c>
      <c r="C48" s="1">
        <v>1</v>
      </c>
      <c r="D48" s="2">
        <v>0.39967637540453077</v>
      </c>
      <c r="E48" s="5">
        <v>57.9</v>
      </c>
      <c r="F48" s="4">
        <v>438</v>
      </c>
      <c r="G48" s="4">
        <v>379</v>
      </c>
      <c r="H48" s="4">
        <v>1040</v>
      </c>
      <c r="I48" s="4">
        <v>677</v>
      </c>
    </row>
    <row r="49" spans="1:9">
      <c r="A49" s="1" t="s">
        <v>29</v>
      </c>
      <c r="B49" s="1">
        <v>2</v>
      </c>
      <c r="C49" s="1">
        <v>1</v>
      </c>
      <c r="D49" s="2">
        <v>0.4349900596421471</v>
      </c>
      <c r="E49" s="5">
        <v>59.3</v>
      </c>
      <c r="F49" s="4">
        <v>416</v>
      </c>
      <c r="G49" s="4">
        <v>446</v>
      </c>
      <c r="H49" s="4">
        <v>914</v>
      </c>
      <c r="I49" s="4">
        <v>820</v>
      </c>
    </row>
    <row r="50" spans="1:9">
      <c r="A50" s="1" t="s">
        <v>30</v>
      </c>
      <c r="B50" s="1">
        <v>1</v>
      </c>
      <c r="C50" s="1">
        <v>0</v>
      </c>
      <c r="D50" s="2">
        <v>0.36486486486486486</v>
      </c>
      <c r="E50" s="3">
        <v>55.555555555555557</v>
      </c>
      <c r="F50" s="1">
        <v>22</v>
      </c>
      <c r="G50" s="1">
        <v>27</v>
      </c>
      <c r="H50" s="1">
        <v>58</v>
      </c>
      <c r="I50" s="1">
        <v>30</v>
      </c>
    </row>
    <row r="51" spans="1:9">
      <c r="A51" s="1" t="s">
        <v>30</v>
      </c>
      <c r="B51" s="1">
        <v>2</v>
      </c>
      <c r="C51" s="1">
        <v>0</v>
      </c>
      <c r="D51" s="2">
        <v>0.42564102564102563</v>
      </c>
      <c r="E51" s="3">
        <v>62.5</v>
      </c>
      <c r="F51" s="4">
        <v>19</v>
      </c>
      <c r="G51" s="4">
        <v>14</v>
      </c>
      <c r="H51" s="4">
        <v>42</v>
      </c>
      <c r="I51" s="4">
        <v>34</v>
      </c>
    </row>
    <row r="52" spans="1:9">
      <c r="A52" s="1" t="s">
        <v>30</v>
      </c>
      <c r="B52" s="1">
        <v>1</v>
      </c>
      <c r="C52" s="1">
        <v>1</v>
      </c>
      <c r="D52" s="2">
        <v>0.44457593688362917</v>
      </c>
      <c r="E52" s="5">
        <v>65.099999999999994</v>
      </c>
      <c r="F52" s="4">
        <v>418</v>
      </c>
      <c r="G52" s="4">
        <v>453</v>
      </c>
      <c r="H52" s="4">
        <v>1058</v>
      </c>
      <c r="I52" s="4">
        <v>816</v>
      </c>
    </row>
    <row r="53" spans="1:9">
      <c r="A53" s="1" t="s">
        <v>30</v>
      </c>
      <c r="B53" s="1">
        <v>2</v>
      </c>
      <c r="C53" s="1">
        <v>1</v>
      </c>
      <c r="D53" s="2">
        <v>0.42216411906677392</v>
      </c>
      <c r="E53" s="5">
        <v>64.8</v>
      </c>
      <c r="F53" s="4">
        <v>420</v>
      </c>
      <c r="G53" s="4">
        <v>472</v>
      </c>
      <c r="H53" s="4">
        <v>1124</v>
      </c>
      <c r="I53" s="4">
        <v>761</v>
      </c>
    </row>
    <row r="54" spans="1:9">
      <c r="A54" s="1" t="s">
        <v>31</v>
      </c>
      <c r="B54" s="1">
        <v>1</v>
      </c>
      <c r="C54" s="1">
        <v>0</v>
      </c>
      <c r="D54" s="2">
        <v>0.40639269406392692</v>
      </c>
      <c r="E54" s="3">
        <v>88.888888888888886</v>
      </c>
      <c r="F54" s="1">
        <v>26</v>
      </c>
      <c r="G54" s="1">
        <v>26</v>
      </c>
      <c r="H54" s="1">
        <v>49</v>
      </c>
      <c r="I54" s="1">
        <v>33</v>
      </c>
    </row>
    <row r="55" spans="1:9">
      <c r="A55" s="1" t="s">
        <v>31</v>
      </c>
      <c r="B55" s="1">
        <v>2</v>
      </c>
      <c r="C55" s="1">
        <v>0</v>
      </c>
      <c r="D55" s="2">
        <v>0.40530303030303028</v>
      </c>
      <c r="E55" s="3">
        <v>80</v>
      </c>
      <c r="F55" s="4">
        <v>34</v>
      </c>
      <c r="G55" s="4">
        <v>22</v>
      </c>
      <c r="H55" s="4">
        <v>57</v>
      </c>
      <c r="I55" s="4">
        <v>29</v>
      </c>
    </row>
    <row r="56" spans="1:9">
      <c r="A56" s="1" t="s">
        <v>31</v>
      </c>
      <c r="B56" s="1">
        <v>1</v>
      </c>
      <c r="C56" s="1">
        <v>1</v>
      </c>
      <c r="D56" s="2">
        <v>0.37763798701298701</v>
      </c>
      <c r="E56" s="5">
        <v>69.7</v>
      </c>
      <c r="F56" s="4">
        <v>434</v>
      </c>
      <c r="G56" s="4">
        <v>499</v>
      </c>
      <c r="H56" s="4">
        <v>953</v>
      </c>
      <c r="I56" s="4">
        <v>633</v>
      </c>
    </row>
    <row r="57" spans="1:9">
      <c r="A57" s="1" t="s">
        <v>31</v>
      </c>
      <c r="B57" s="1">
        <v>2</v>
      </c>
      <c r="C57" s="1">
        <v>1</v>
      </c>
      <c r="D57" s="2">
        <v>0.36235149528881605</v>
      </c>
      <c r="E57" s="5">
        <v>67.3</v>
      </c>
      <c r="F57" s="4">
        <v>441</v>
      </c>
      <c r="G57" s="4">
        <v>526</v>
      </c>
      <c r="H57" s="4">
        <v>934</v>
      </c>
      <c r="I57" s="4">
        <v>737</v>
      </c>
    </row>
    <row r="58" spans="1:9">
      <c r="A58" s="1" t="s">
        <v>32</v>
      </c>
      <c r="B58" s="1">
        <v>1</v>
      </c>
      <c r="C58" s="1">
        <v>1</v>
      </c>
      <c r="D58" s="2">
        <v>0.42848569713942791</v>
      </c>
      <c r="E58" s="5">
        <v>68</v>
      </c>
      <c r="F58" s="4">
        <v>509</v>
      </c>
      <c r="G58" s="4">
        <v>493</v>
      </c>
      <c r="H58" s="4">
        <v>1019</v>
      </c>
      <c r="I58" s="4">
        <v>694</v>
      </c>
    </row>
    <row r="59" spans="1:9">
      <c r="A59" s="1" t="s">
        <v>32</v>
      </c>
      <c r="B59" s="1">
        <v>2</v>
      </c>
      <c r="C59" s="1">
        <v>1</v>
      </c>
      <c r="D59" s="2">
        <v>0.33833813245577954</v>
      </c>
      <c r="E59" s="5">
        <v>58.6</v>
      </c>
      <c r="F59" s="4">
        <v>462</v>
      </c>
      <c r="G59" s="4">
        <v>609</v>
      </c>
      <c r="H59" s="4">
        <v>1019</v>
      </c>
      <c r="I59" s="4">
        <v>820</v>
      </c>
    </row>
    <row r="60" spans="1:9">
      <c r="A60" s="1" t="s">
        <v>33</v>
      </c>
      <c r="B60" s="1">
        <v>1</v>
      </c>
      <c r="C60" s="1">
        <v>0</v>
      </c>
      <c r="D60" s="2">
        <v>0.30078125</v>
      </c>
      <c r="E60" s="3">
        <v>58.333333333333336</v>
      </c>
      <c r="F60" s="1">
        <v>32</v>
      </c>
      <c r="G60" s="1">
        <v>30</v>
      </c>
      <c r="H60" s="1">
        <v>45</v>
      </c>
      <c r="I60" s="1">
        <v>35</v>
      </c>
    </row>
    <row r="61" spans="1:9">
      <c r="A61" s="1" t="s">
        <v>33</v>
      </c>
      <c r="B61" s="1">
        <v>2</v>
      </c>
      <c r="C61" s="1">
        <v>0</v>
      </c>
      <c r="D61" s="2">
        <v>0.37280701754385964</v>
      </c>
      <c r="E61" s="3">
        <v>55.555555555555557</v>
      </c>
      <c r="F61" s="4">
        <v>35</v>
      </c>
      <c r="G61" s="4">
        <v>32</v>
      </c>
      <c r="H61" s="4">
        <v>49</v>
      </c>
      <c r="I61" s="4">
        <v>29</v>
      </c>
    </row>
    <row r="62" spans="1:9">
      <c r="A62" s="1" t="s">
        <v>33</v>
      </c>
      <c r="B62" s="1">
        <v>1</v>
      </c>
      <c r="C62" s="1">
        <v>1</v>
      </c>
      <c r="D62" s="2">
        <v>0.36842105263157893</v>
      </c>
      <c r="E62" s="5">
        <v>73</v>
      </c>
      <c r="F62" s="4">
        <v>592</v>
      </c>
      <c r="G62" s="4">
        <v>545</v>
      </c>
      <c r="H62" s="4">
        <v>1068</v>
      </c>
      <c r="I62" s="4">
        <v>561</v>
      </c>
    </row>
    <row r="63" spans="1:9">
      <c r="A63" s="1" t="s">
        <v>33</v>
      </c>
      <c r="B63" s="1">
        <v>2</v>
      </c>
      <c r="C63" s="1">
        <v>1</v>
      </c>
      <c r="D63" s="2">
        <v>0.34108858057630737</v>
      </c>
      <c r="E63" s="5">
        <v>66.099999999999994</v>
      </c>
      <c r="F63" s="4">
        <v>633</v>
      </c>
      <c r="G63" s="4">
        <v>673</v>
      </c>
      <c r="H63" s="4">
        <v>1011</v>
      </c>
      <c r="I63" s="4">
        <v>739</v>
      </c>
    </row>
    <row r="64" spans="1:9">
      <c r="A64" s="1" t="s">
        <v>34</v>
      </c>
      <c r="B64" s="1">
        <v>1</v>
      </c>
      <c r="C64" s="1">
        <v>0</v>
      </c>
      <c r="D64" s="2">
        <v>0.4334763948497854</v>
      </c>
      <c r="E64" s="3">
        <v>85.714285714285708</v>
      </c>
      <c r="F64" s="1">
        <v>35</v>
      </c>
      <c r="G64" s="1">
        <v>45</v>
      </c>
      <c r="H64" s="1">
        <v>105</v>
      </c>
      <c r="I64" s="1">
        <v>36</v>
      </c>
    </row>
    <row r="65" spans="1:9">
      <c r="A65" s="1" t="s">
        <v>34</v>
      </c>
      <c r="B65" s="1">
        <v>2</v>
      </c>
      <c r="C65" s="1">
        <v>0</v>
      </c>
      <c r="D65" s="2">
        <v>0.37704918032786883</v>
      </c>
      <c r="E65" s="3">
        <v>63.157894736842103</v>
      </c>
      <c r="F65" s="4">
        <v>53</v>
      </c>
      <c r="G65" s="4">
        <v>45</v>
      </c>
      <c r="H65" s="4">
        <v>92</v>
      </c>
      <c r="I65" s="4">
        <v>89</v>
      </c>
    </row>
    <row r="66" spans="1:9">
      <c r="A66" s="1" t="s">
        <v>34</v>
      </c>
      <c r="B66" s="1">
        <v>1</v>
      </c>
      <c r="C66" s="1">
        <v>1</v>
      </c>
      <c r="D66" s="2">
        <v>0.39638725390704282</v>
      </c>
      <c r="E66" s="5">
        <v>68.900000000000006</v>
      </c>
      <c r="F66" s="4">
        <v>501</v>
      </c>
      <c r="G66" s="4">
        <v>451</v>
      </c>
      <c r="H66" s="4">
        <v>1031</v>
      </c>
      <c r="I66" s="4">
        <v>521</v>
      </c>
    </row>
    <row r="67" spans="1:9">
      <c r="A67" s="1" t="s">
        <v>34</v>
      </c>
      <c r="B67" s="1">
        <v>2</v>
      </c>
      <c r="C67" s="1">
        <v>1</v>
      </c>
      <c r="D67" s="2">
        <v>0.35157851578515786</v>
      </c>
      <c r="E67" s="5">
        <v>65.5</v>
      </c>
      <c r="F67" s="4">
        <v>497</v>
      </c>
      <c r="G67" s="4">
        <v>602</v>
      </c>
      <c r="H67" s="4">
        <v>974</v>
      </c>
      <c r="I67" s="4">
        <v>759</v>
      </c>
    </row>
    <row r="68" spans="1:9">
      <c r="A68" s="1" t="s">
        <v>35</v>
      </c>
      <c r="B68" s="1">
        <v>1</v>
      </c>
      <c r="C68" s="1">
        <v>0</v>
      </c>
      <c r="D68" s="2">
        <v>0.36480686695278969</v>
      </c>
      <c r="E68" s="3">
        <v>64</v>
      </c>
      <c r="F68" s="1">
        <v>68</v>
      </c>
      <c r="G68" s="1">
        <v>47</v>
      </c>
      <c r="H68" s="1">
        <v>87</v>
      </c>
      <c r="I68" s="1">
        <v>49</v>
      </c>
    </row>
    <row r="69" spans="1:9">
      <c r="A69" s="1" t="s">
        <v>35</v>
      </c>
      <c r="B69" s="1">
        <v>2</v>
      </c>
      <c r="C69" s="1">
        <v>0</v>
      </c>
      <c r="D69" s="2">
        <v>0.39678899082568808</v>
      </c>
      <c r="E69" s="3">
        <v>88.888888888888886</v>
      </c>
      <c r="F69" s="4">
        <v>67</v>
      </c>
      <c r="G69" s="4">
        <v>42</v>
      </c>
      <c r="H69" s="4">
        <v>97</v>
      </c>
      <c r="I69" s="4">
        <v>51</v>
      </c>
    </row>
    <row r="70" spans="1:9">
      <c r="A70" s="1" t="s">
        <v>35</v>
      </c>
      <c r="B70" s="1">
        <v>1</v>
      </c>
      <c r="C70" s="1">
        <v>1</v>
      </c>
      <c r="D70" s="2">
        <v>0.3941815201802909</v>
      </c>
      <c r="E70" s="5">
        <v>62.2</v>
      </c>
      <c r="F70" s="4">
        <v>583</v>
      </c>
      <c r="G70" s="4">
        <v>491</v>
      </c>
      <c r="H70" s="4">
        <v>977</v>
      </c>
      <c r="I70" s="4">
        <v>610</v>
      </c>
    </row>
    <row r="71" spans="1:9">
      <c r="A71" s="1" t="s">
        <v>35</v>
      </c>
      <c r="B71" s="1">
        <v>2</v>
      </c>
      <c r="C71" s="1">
        <v>1</v>
      </c>
      <c r="D71" s="2">
        <v>0.35038728088055443</v>
      </c>
      <c r="E71" s="5">
        <v>75.3</v>
      </c>
      <c r="F71" s="4">
        <v>535</v>
      </c>
      <c r="G71" s="4">
        <v>518</v>
      </c>
      <c r="H71" s="4">
        <v>1037</v>
      </c>
      <c r="I71" s="4">
        <v>708</v>
      </c>
    </row>
    <row r="72" spans="1:9">
      <c r="A72" s="1" t="s">
        <v>36</v>
      </c>
      <c r="B72" s="1">
        <v>1</v>
      </c>
      <c r="C72" s="1">
        <v>0</v>
      </c>
      <c r="D72" s="2">
        <v>0.35820895522388058</v>
      </c>
      <c r="E72" s="3">
        <v>87.5</v>
      </c>
      <c r="F72" s="1">
        <v>18</v>
      </c>
      <c r="G72" s="1">
        <v>33</v>
      </c>
      <c r="H72" s="1">
        <v>53</v>
      </c>
      <c r="I72" s="1">
        <v>22</v>
      </c>
    </row>
    <row r="73" spans="1:9">
      <c r="A73" s="1" t="s">
        <v>36</v>
      </c>
      <c r="B73" s="1">
        <v>2</v>
      </c>
      <c r="C73" s="1">
        <v>0</v>
      </c>
      <c r="D73" s="2">
        <v>0.42042042042042044</v>
      </c>
      <c r="E73" s="3">
        <v>66.666666666666657</v>
      </c>
      <c r="F73" s="4">
        <v>38</v>
      </c>
      <c r="G73" s="4">
        <v>29</v>
      </c>
      <c r="H73" s="4">
        <v>77</v>
      </c>
      <c r="I73" s="4">
        <v>40</v>
      </c>
    </row>
    <row r="74" spans="1:9">
      <c r="A74" s="1" t="s">
        <v>36</v>
      </c>
      <c r="B74" s="1">
        <v>1</v>
      </c>
      <c r="C74" s="1">
        <v>1</v>
      </c>
      <c r="D74" s="2">
        <v>0.41370197194551739</v>
      </c>
      <c r="E74" s="5">
        <v>68.400000000000006</v>
      </c>
      <c r="F74" s="4">
        <v>616</v>
      </c>
      <c r="G74" s="4">
        <v>529</v>
      </c>
      <c r="H74" s="4">
        <v>1082</v>
      </c>
      <c r="I74" s="4">
        <v>728</v>
      </c>
    </row>
    <row r="75" spans="1:9">
      <c r="A75" s="1" t="s">
        <v>36</v>
      </c>
      <c r="B75" s="1">
        <v>2</v>
      </c>
      <c r="C75" s="1">
        <v>1</v>
      </c>
      <c r="D75" s="2">
        <v>0.39800199800199798</v>
      </c>
      <c r="E75" s="5">
        <v>62.7</v>
      </c>
      <c r="F75" s="4">
        <v>530</v>
      </c>
      <c r="G75" s="4">
        <v>511</v>
      </c>
      <c r="H75" s="4">
        <v>1130</v>
      </c>
      <c r="I75" s="4">
        <v>780</v>
      </c>
    </row>
    <row r="76" spans="1:9">
      <c r="A76" s="1" t="s">
        <v>37</v>
      </c>
      <c r="B76" s="1">
        <v>1</v>
      </c>
      <c r="C76" s="1">
        <v>0</v>
      </c>
      <c r="D76" s="2">
        <v>0.30618892508143325</v>
      </c>
      <c r="E76" s="3">
        <v>81.25</v>
      </c>
      <c r="F76" s="1">
        <v>40</v>
      </c>
      <c r="G76" s="1">
        <v>46</v>
      </c>
      <c r="H76" s="1">
        <v>62</v>
      </c>
      <c r="I76" s="1">
        <v>41</v>
      </c>
    </row>
    <row r="77" spans="1:9">
      <c r="A77" s="1" t="s">
        <v>37</v>
      </c>
      <c r="B77" s="1">
        <v>2</v>
      </c>
      <c r="C77" s="1">
        <v>0</v>
      </c>
      <c r="D77" s="2">
        <v>0.44268774703557312</v>
      </c>
      <c r="E77" s="3">
        <v>87.5</v>
      </c>
      <c r="F77" s="4">
        <v>25</v>
      </c>
      <c r="G77" s="4">
        <v>19</v>
      </c>
      <c r="H77" s="4">
        <v>62</v>
      </c>
      <c r="I77" s="4">
        <v>18</v>
      </c>
    </row>
    <row r="78" spans="1:9">
      <c r="A78" s="1" t="s">
        <v>37</v>
      </c>
      <c r="B78" s="1">
        <v>1</v>
      </c>
      <c r="C78" s="1">
        <v>1</v>
      </c>
      <c r="D78" s="2">
        <v>0.409229518194755</v>
      </c>
      <c r="E78" s="5">
        <v>71.2</v>
      </c>
      <c r="F78" s="4">
        <v>604</v>
      </c>
      <c r="G78" s="4">
        <v>491</v>
      </c>
      <c r="H78" s="4">
        <v>1080</v>
      </c>
      <c r="I78" s="4">
        <v>584</v>
      </c>
    </row>
    <row r="79" spans="1:9">
      <c r="A79" s="1" t="s">
        <v>37</v>
      </c>
      <c r="B79" s="1">
        <v>2</v>
      </c>
      <c r="C79" s="1">
        <v>1</v>
      </c>
      <c r="D79" s="2">
        <v>0.39513491414554375</v>
      </c>
      <c r="E79" s="5">
        <v>72.7</v>
      </c>
      <c r="F79" s="1" t="s">
        <v>9</v>
      </c>
      <c r="G79" s="4">
        <v>450</v>
      </c>
      <c r="H79" s="4">
        <v>1339</v>
      </c>
      <c r="I79" s="4">
        <v>554</v>
      </c>
    </row>
  </sheetData>
  <autoFilter ref="A1:I79" xr:uid="{B67738DE-348A-2B41-9E25-9AECF62EF83B}">
    <sortState xmlns:xlrd2="http://schemas.microsoft.com/office/spreadsheetml/2017/richdata2" ref="A2:I79">
      <sortCondition ref="A2:A79"/>
      <sortCondition ref="C2:C79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LG</vt:lpstr>
      <vt:lpstr>한화</vt:lpstr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박예린(***4***031)</dc:creator>
  <cp:lastModifiedBy>박예린(***4***031)</cp:lastModifiedBy>
  <dcterms:created xsi:type="dcterms:W3CDTF">2025-11-15T08:42:14Z</dcterms:created>
  <dcterms:modified xsi:type="dcterms:W3CDTF">2025-11-15T14:47:54Z</dcterms:modified>
</cp:coreProperties>
</file>